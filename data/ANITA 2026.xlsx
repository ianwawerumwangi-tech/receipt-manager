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receipt-manager\data\"/>
    </mc:Choice>
  </mc:AlternateContent>
  <xr:revisionPtr revIDLastSave="0" documentId="13_ncr:1_{1671404A-096F-41B2-B690-D4FEF4DFC81D}" xr6:coauthVersionLast="40" xr6:coauthVersionMax="47" xr10:uidLastSave="{00000000-0000-0000-0000-000000000000}"/>
  <bookViews>
    <workbookView xWindow="-105" yWindow="-105" windowWidth="23250" windowHeight="12450" activeTab="7" xr2:uid="{8E970943-FF92-44B4-AC5A-9D37C0F95493}"/>
  </bookViews>
  <sheets>
    <sheet name="JAN" sheetId="1" r:id="rId1"/>
    <sheet name="FEB" sheetId="2" r:id="rId2"/>
    <sheet name="MAR" sheetId="3" r:id="rId3"/>
    <sheet name="APR" sheetId="4" r:id="rId4"/>
    <sheet name="MAY" sheetId="5" r:id="rId5"/>
    <sheet name="JUNE" sheetId="6" r:id="rId6"/>
    <sheet name="JULY" sheetId="7" r:id="rId7"/>
    <sheet name="AUG" sheetId="8" r:id="rId8"/>
    <sheet name="SEP" sheetId="9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9" l="1"/>
  <c r="H30" i="9"/>
  <c r="H21" i="9"/>
  <c r="F14" i="9"/>
  <c r="F15" i="9"/>
  <c r="F16" i="9"/>
  <c r="G16" i="9" s="1"/>
  <c r="K16" i="9" s="1"/>
  <c r="F17" i="9"/>
  <c r="G17" i="9" s="1"/>
  <c r="K17" i="9" s="1"/>
  <c r="F18" i="9"/>
  <c r="F19" i="9"/>
  <c r="F20" i="9"/>
  <c r="G20" i="9" s="1"/>
  <c r="K20" i="9" s="1"/>
  <c r="F21" i="9"/>
  <c r="G21" i="9" s="1"/>
  <c r="F22" i="9"/>
  <c r="F23" i="9"/>
  <c r="F24" i="9"/>
  <c r="G24" i="9" s="1"/>
  <c r="K24" i="9" s="1"/>
  <c r="F25" i="9"/>
  <c r="G25" i="9" s="1"/>
  <c r="F26" i="9"/>
  <c r="F27" i="9"/>
  <c r="F28" i="9"/>
  <c r="G28" i="9" s="1"/>
  <c r="K28" i="9" s="1"/>
  <c r="F29" i="9"/>
  <c r="G29" i="9" s="1"/>
  <c r="K29" i="9" s="1"/>
  <c r="K43" i="9"/>
  <c r="E30" i="9"/>
  <c r="G27" i="9"/>
  <c r="K27" i="9" s="1"/>
  <c r="G26" i="9"/>
  <c r="K26" i="9" s="1"/>
  <c r="G23" i="9"/>
  <c r="K23" i="9" s="1"/>
  <c r="G22" i="9"/>
  <c r="K22" i="9" s="1"/>
  <c r="G19" i="9"/>
  <c r="K19" i="9" s="1"/>
  <c r="G18" i="9"/>
  <c r="K18" i="9" s="1"/>
  <c r="G15" i="9"/>
  <c r="K15" i="9" s="1"/>
  <c r="G14" i="9"/>
  <c r="K14" i="9" s="1"/>
  <c r="H33" i="9"/>
  <c r="K25" i="9" l="1"/>
  <c r="K21" i="9"/>
  <c r="H32" i="9"/>
  <c r="H34" i="9" s="1"/>
  <c r="H19" i="8"/>
  <c r="H25" i="8"/>
  <c r="K43" i="8"/>
  <c r="H17" i="8" l="1"/>
  <c r="H22" i="8"/>
  <c r="H14" i="8"/>
  <c r="H16" i="8"/>
  <c r="H23" i="8"/>
  <c r="H27" i="8"/>
  <c r="H29" i="8"/>
  <c r="H26" i="8"/>
  <c r="H15" i="8"/>
  <c r="H28" i="8"/>
  <c r="H20" i="8"/>
  <c r="H24" i="8"/>
  <c r="E30" i="8"/>
  <c r="H29" i="7"/>
  <c r="H26" i="7"/>
  <c r="H24" i="7"/>
  <c r="H33" i="7"/>
  <c r="H25" i="7"/>
  <c r="H17" i="7"/>
  <c r="H18" i="7"/>
  <c r="H23" i="7"/>
  <c r="H14" i="7"/>
  <c r="H16" i="7"/>
  <c r="H27" i="7"/>
  <c r="H28" i="7"/>
  <c r="H11" i="7"/>
  <c r="H22" i="7"/>
  <c r="H21" i="7"/>
  <c r="H20" i="7"/>
  <c r="H30" i="7" s="1"/>
  <c r="H32" i="7" s="1"/>
  <c r="H34" i="7" s="1"/>
  <c r="H15" i="7"/>
  <c r="F29" i="7"/>
  <c r="G29" i="7" s="1"/>
  <c r="K29" i="7" s="1"/>
  <c r="F29" i="8" s="1"/>
  <c r="G29" i="8" s="1"/>
  <c r="E30" i="7"/>
  <c r="H25" i="6"/>
  <c r="H17" i="6"/>
  <c r="H18" i="6"/>
  <c r="H16" i="6"/>
  <c r="H23" i="6"/>
  <c r="H22" i="6"/>
  <c r="H12" i="6"/>
  <c r="H27" i="6"/>
  <c r="H28" i="6"/>
  <c r="H14" i="6"/>
  <c r="H15" i="6"/>
  <c r="H20" i="6"/>
  <c r="H21" i="6"/>
  <c r="H30" i="6" s="1"/>
  <c r="H32" i="6" s="1"/>
  <c r="H34" i="6" s="1"/>
  <c r="G11" i="6"/>
  <c r="F29" i="6"/>
  <c r="G29" i="6" s="1"/>
  <c r="E30" i="6"/>
  <c r="H25" i="5"/>
  <c r="H22" i="5"/>
  <c r="H17" i="5"/>
  <c r="H18" i="5"/>
  <c r="H23" i="5"/>
  <c r="H12" i="5"/>
  <c r="H16" i="5"/>
  <c r="H27" i="5"/>
  <c r="H14" i="5"/>
  <c r="H15" i="5"/>
  <c r="H28" i="5"/>
  <c r="H20" i="5"/>
  <c r="H21" i="5"/>
  <c r="F29" i="5"/>
  <c r="G29" i="5" s="1"/>
  <c r="E30" i="5"/>
  <c r="H17" i="4"/>
  <c r="H13" i="4"/>
  <c r="H33" i="4" s="1"/>
  <c r="H23" i="4"/>
  <c r="H22" i="4"/>
  <c r="H18" i="4"/>
  <c r="H25" i="4"/>
  <c r="H27" i="4"/>
  <c r="H14" i="4"/>
  <c r="H16" i="4"/>
  <c r="H28" i="4"/>
  <c r="H15" i="4"/>
  <c r="H20" i="4"/>
  <c r="H12" i="4"/>
  <c r="H21" i="4"/>
  <c r="F29" i="4"/>
  <c r="G29" i="4" s="1"/>
  <c r="F41" i="4"/>
  <c r="E30" i="4"/>
  <c r="H25" i="3"/>
  <c r="H11" i="3"/>
  <c r="H12" i="3"/>
  <c r="H13" i="3"/>
  <c r="H33" i="3"/>
  <c r="H14" i="3"/>
  <c r="H15" i="3"/>
  <c r="H16" i="3"/>
  <c r="H17" i="3"/>
  <c r="H18" i="3"/>
  <c r="H20" i="3"/>
  <c r="H21" i="3"/>
  <c r="H22" i="3"/>
  <c r="H23" i="3"/>
  <c r="H27" i="3"/>
  <c r="H28" i="3"/>
  <c r="H12" i="2"/>
  <c r="H14" i="2"/>
  <c r="H15" i="2"/>
  <c r="H16" i="2"/>
  <c r="H18" i="2"/>
  <c r="H20" i="2"/>
  <c r="H21" i="2"/>
  <c r="H22" i="2"/>
  <c r="H23" i="2"/>
  <c r="H25" i="2"/>
  <c r="H27" i="2"/>
  <c r="H28" i="2"/>
  <c r="H33" i="2"/>
  <c r="H11" i="1"/>
  <c r="H12" i="1"/>
  <c r="H13" i="1"/>
  <c r="H14" i="1"/>
  <c r="H15" i="1"/>
  <c r="H16" i="1"/>
  <c r="G16" i="1"/>
  <c r="H18" i="1"/>
  <c r="H20" i="1"/>
  <c r="H21" i="1"/>
  <c r="H22" i="1"/>
  <c r="H23" i="1"/>
  <c r="H25" i="1"/>
  <c r="H27" i="1"/>
  <c r="H28" i="1"/>
  <c r="H35" i="1"/>
  <c r="F29" i="3"/>
  <c r="G29" i="3" s="1"/>
  <c r="F41" i="3"/>
  <c r="E30" i="3"/>
  <c r="F29" i="2"/>
  <c r="G29" i="2" s="1"/>
  <c r="F41" i="2"/>
  <c r="E30" i="2"/>
  <c r="G17" i="1"/>
  <c r="K17" i="1" s="1"/>
  <c r="F17" i="2" s="1"/>
  <c r="G17" i="2" s="1"/>
  <c r="K17" i="2" s="1"/>
  <c r="F17" i="3" s="1"/>
  <c r="G17" i="3" s="1"/>
  <c r="G12" i="1"/>
  <c r="K12" i="1" s="1"/>
  <c r="G13" i="1"/>
  <c r="G14" i="1"/>
  <c r="K14" i="1" s="1"/>
  <c r="F14" i="2" s="1"/>
  <c r="G14" i="2" s="1"/>
  <c r="K14" i="2" s="1"/>
  <c r="F14" i="3" s="1"/>
  <c r="G14" i="3" s="1"/>
  <c r="K14" i="3" s="1"/>
  <c r="F14" i="4" s="1"/>
  <c r="G14" i="4" s="1"/>
  <c r="K14" i="4" s="1"/>
  <c r="F14" i="5" s="1"/>
  <c r="G14" i="5" s="1"/>
  <c r="K14" i="5" s="1"/>
  <c r="F14" i="6" s="1"/>
  <c r="G14" i="6" s="1"/>
  <c r="K14" i="6" s="1"/>
  <c r="F14" i="7" s="1"/>
  <c r="G14" i="7" s="1"/>
  <c r="K14" i="7" s="1"/>
  <c r="F14" i="8" s="1"/>
  <c r="G14" i="8" s="1"/>
  <c r="G15" i="1"/>
  <c r="K15" i="1" s="1"/>
  <c r="F15" i="2" s="1"/>
  <c r="G15" i="2" s="1"/>
  <c r="K15" i="2" s="1"/>
  <c r="F15" i="3" s="1"/>
  <c r="G15" i="3" s="1"/>
  <c r="G18" i="1"/>
  <c r="G19" i="1"/>
  <c r="K19" i="1" s="1"/>
  <c r="F19" i="2" s="1"/>
  <c r="G19" i="2" s="1"/>
  <c r="K19" i="2" s="1"/>
  <c r="F19" i="3" s="1"/>
  <c r="G19" i="3" s="1"/>
  <c r="K19" i="3" s="1"/>
  <c r="F19" i="4" s="1"/>
  <c r="G19" i="4" s="1"/>
  <c r="K19" i="4" s="1"/>
  <c r="F19" i="5" s="1"/>
  <c r="G19" i="5" s="1"/>
  <c r="K19" i="5" s="1"/>
  <c r="F19" i="6" s="1"/>
  <c r="G19" i="6" s="1"/>
  <c r="K19" i="6" s="1"/>
  <c r="F19" i="7" s="1"/>
  <c r="G19" i="7" s="1"/>
  <c r="K19" i="7" s="1"/>
  <c r="F19" i="8" s="1"/>
  <c r="G19" i="8" s="1"/>
  <c r="K19" i="8" s="1"/>
  <c r="G20" i="1"/>
  <c r="G21" i="1"/>
  <c r="G22" i="1"/>
  <c r="K22" i="1" s="1"/>
  <c r="F22" i="2" s="1"/>
  <c r="G22" i="2" s="1"/>
  <c r="K22" i="2" s="1"/>
  <c r="F22" i="3" s="1"/>
  <c r="G22" i="3" s="1"/>
  <c r="K22" i="3" s="1"/>
  <c r="F22" i="4" s="1"/>
  <c r="G22" i="4" s="1"/>
  <c r="K22" i="4" s="1"/>
  <c r="F22" i="5" s="1"/>
  <c r="G22" i="5" s="1"/>
  <c r="K22" i="5" s="1"/>
  <c r="F22" i="6" s="1"/>
  <c r="G22" i="6" s="1"/>
  <c r="K22" i="6" s="1"/>
  <c r="F22" i="7" s="1"/>
  <c r="G22" i="7" s="1"/>
  <c r="K22" i="7" s="1"/>
  <c r="F22" i="8" s="1"/>
  <c r="G22" i="8" s="1"/>
  <c r="G23" i="1"/>
  <c r="G24" i="1"/>
  <c r="K24" i="1" s="1"/>
  <c r="F24" i="2" s="1"/>
  <c r="G24" i="2" s="1"/>
  <c r="K24" i="2" s="1"/>
  <c r="F24" i="3" s="1"/>
  <c r="G24" i="3" s="1"/>
  <c r="K24" i="3" s="1"/>
  <c r="F24" i="4" s="1"/>
  <c r="G24" i="4" s="1"/>
  <c r="K24" i="4" s="1"/>
  <c r="F24" i="5" s="1"/>
  <c r="G24" i="5" s="1"/>
  <c r="K24" i="5" s="1"/>
  <c r="F24" i="6" s="1"/>
  <c r="G24" i="6" s="1"/>
  <c r="K24" i="6" s="1"/>
  <c r="F24" i="7" s="1"/>
  <c r="G24" i="7" s="1"/>
  <c r="K24" i="7" s="1"/>
  <c r="F24" i="8" s="1"/>
  <c r="G24" i="8" s="1"/>
  <c r="G25" i="1"/>
  <c r="K25" i="1" s="1"/>
  <c r="F25" i="2" s="1"/>
  <c r="G25" i="2" s="1"/>
  <c r="K25" i="2" s="1"/>
  <c r="F25" i="3" s="1"/>
  <c r="G25" i="3" s="1"/>
  <c r="G26" i="1"/>
  <c r="K26" i="1" s="1"/>
  <c r="F26" i="2" s="1"/>
  <c r="G26" i="2" s="1"/>
  <c r="K26" i="2" s="1"/>
  <c r="F26" i="3" s="1"/>
  <c r="G26" i="3" s="1"/>
  <c r="K26" i="3" s="1"/>
  <c r="F26" i="4" s="1"/>
  <c r="G26" i="4" s="1"/>
  <c r="K26" i="4" s="1"/>
  <c r="F26" i="5" s="1"/>
  <c r="G26" i="5" s="1"/>
  <c r="K26" i="5" s="1"/>
  <c r="F26" i="6" s="1"/>
  <c r="G26" i="6" s="1"/>
  <c r="K26" i="6" s="1"/>
  <c r="F26" i="7" s="1"/>
  <c r="G26" i="7" s="1"/>
  <c r="K26" i="7" s="1"/>
  <c r="F26" i="8" s="1"/>
  <c r="G26" i="8" s="1"/>
  <c r="K26" i="8" s="1"/>
  <c r="G27" i="1"/>
  <c r="G28" i="1"/>
  <c r="K28" i="1" s="1"/>
  <c r="F28" i="2" s="1"/>
  <c r="G28" i="2" s="1"/>
  <c r="K28" i="2" s="1"/>
  <c r="F28" i="3" s="1"/>
  <c r="G28" i="3" s="1"/>
  <c r="K28" i="3" s="1"/>
  <c r="F28" i="4" s="1"/>
  <c r="G28" i="4" s="1"/>
  <c r="G29" i="1"/>
  <c r="G11" i="1"/>
  <c r="F30" i="1"/>
  <c r="F41" i="1"/>
  <c r="E30" i="1"/>
  <c r="G13" i="3"/>
  <c r="K13" i="3"/>
  <c r="F13" i="4" s="1"/>
  <c r="G13" i="4" s="1"/>
  <c r="K13" i="4" s="1"/>
  <c r="F13" i="5" s="1"/>
  <c r="G13" i="5" s="1"/>
  <c r="K13" i="5" s="1"/>
  <c r="F13" i="6" s="1"/>
  <c r="G13" i="6" s="1"/>
  <c r="K13" i="6" s="1"/>
  <c r="F13" i="7" s="1"/>
  <c r="G13" i="7" s="1"/>
  <c r="K13" i="7" s="1"/>
  <c r="G13" i="8" s="1"/>
  <c r="H30" i="5"/>
  <c r="H32" i="5" s="1"/>
  <c r="H34" i="5" s="1"/>
  <c r="K21" i="1"/>
  <c r="F21" i="2" s="1"/>
  <c r="G21" i="2" s="1"/>
  <c r="K21" i="2" s="1"/>
  <c r="F21" i="3" s="1"/>
  <c r="G21" i="3" s="1"/>
  <c r="K21" i="3" s="1"/>
  <c r="F21" i="4" s="1"/>
  <c r="G21" i="4" s="1"/>
  <c r="K21" i="4" s="1"/>
  <c r="F21" i="5" s="1"/>
  <c r="G21" i="5" s="1"/>
  <c r="K21" i="5" s="1"/>
  <c r="F21" i="6" s="1"/>
  <c r="G21" i="6" s="1"/>
  <c r="K21" i="6" s="1"/>
  <c r="F21" i="7" s="1"/>
  <c r="G21" i="7" s="1"/>
  <c r="K21" i="7" s="1"/>
  <c r="F21" i="8" s="1"/>
  <c r="G21" i="8" s="1"/>
  <c r="K21" i="8" s="1"/>
  <c r="K11" i="6"/>
  <c r="K28" i="4" l="1"/>
  <c r="F28" i="5" s="1"/>
  <c r="G28" i="5" s="1"/>
  <c r="K28" i="5" s="1"/>
  <c r="F28" i="6" s="1"/>
  <c r="G28" i="6" s="1"/>
  <c r="K28" i="6" s="1"/>
  <c r="F28" i="7" s="1"/>
  <c r="G28" i="7" s="1"/>
  <c r="K28" i="7" s="1"/>
  <c r="F28" i="8" s="1"/>
  <c r="G28" i="8" s="1"/>
  <c r="K15" i="3"/>
  <c r="F15" i="4" s="1"/>
  <c r="G15" i="4" s="1"/>
  <c r="K15" i="4" s="1"/>
  <c r="F15" i="5" s="1"/>
  <c r="G15" i="5" s="1"/>
  <c r="K15" i="5" s="1"/>
  <c r="F15" i="6" s="1"/>
  <c r="G15" i="6" s="1"/>
  <c r="K15" i="6" s="1"/>
  <c r="F15" i="7" s="1"/>
  <c r="G15" i="7" s="1"/>
  <c r="K15" i="7" s="1"/>
  <c r="F15" i="8" s="1"/>
  <c r="G15" i="8" s="1"/>
  <c r="H33" i="8"/>
  <c r="G30" i="1"/>
  <c r="K23" i="1"/>
  <c r="F23" i="2" s="1"/>
  <c r="G23" i="2" s="1"/>
  <c r="K23" i="2" s="1"/>
  <c r="F23" i="3" s="1"/>
  <c r="G23" i="3" s="1"/>
  <c r="K23" i="3" s="1"/>
  <c r="F23" i="4" s="1"/>
  <c r="G23" i="4" s="1"/>
  <c r="K23" i="4" s="1"/>
  <c r="F23" i="5" s="1"/>
  <c r="G23" i="5" s="1"/>
  <c r="K23" i="5" s="1"/>
  <c r="F23" i="6" s="1"/>
  <c r="G23" i="6" s="1"/>
  <c r="K23" i="6" s="1"/>
  <c r="F23" i="7" s="1"/>
  <c r="G23" i="7" s="1"/>
  <c r="K23" i="7" s="1"/>
  <c r="F23" i="8" s="1"/>
  <c r="G23" i="8" s="1"/>
  <c r="K23" i="8" s="1"/>
  <c r="K17" i="3"/>
  <c r="F17" i="4" s="1"/>
  <c r="G17" i="4" s="1"/>
  <c r="K17" i="4" s="1"/>
  <c r="F17" i="5" s="1"/>
  <c r="G17" i="5" s="1"/>
  <c r="K17" i="5" s="1"/>
  <c r="F17" i="6" s="1"/>
  <c r="G17" i="6" s="1"/>
  <c r="K17" i="6" s="1"/>
  <c r="F17" i="7" s="1"/>
  <c r="G17" i="7" s="1"/>
  <c r="K17" i="7" s="1"/>
  <c r="F17" i="8" s="1"/>
  <c r="G17" i="8" s="1"/>
  <c r="K13" i="1"/>
  <c r="F13" i="2" s="1"/>
  <c r="G13" i="2" s="1"/>
  <c r="K13" i="2" s="1"/>
  <c r="H30" i="3"/>
  <c r="H32" i="3" s="1"/>
  <c r="H34" i="3" s="1"/>
  <c r="K25" i="3"/>
  <c r="F25" i="4" s="1"/>
  <c r="G25" i="4" s="1"/>
  <c r="H30" i="2"/>
  <c r="H32" i="2" s="1"/>
  <c r="H34" i="2" s="1"/>
  <c r="K11" i="1"/>
  <c r="F11" i="2" s="1"/>
  <c r="G11" i="2" s="1"/>
  <c r="K27" i="1"/>
  <c r="F27" i="2" s="1"/>
  <c r="G27" i="2" s="1"/>
  <c r="K27" i="2" s="1"/>
  <c r="F27" i="3" s="1"/>
  <c r="G27" i="3" s="1"/>
  <c r="K27" i="3" s="1"/>
  <c r="F27" i="4" s="1"/>
  <c r="G27" i="4" s="1"/>
  <c r="K27" i="4" s="1"/>
  <c r="F27" i="5" s="1"/>
  <c r="G27" i="5" s="1"/>
  <c r="K27" i="5" s="1"/>
  <c r="F27" i="6" s="1"/>
  <c r="G27" i="6" s="1"/>
  <c r="K27" i="6" s="1"/>
  <c r="F27" i="7" s="1"/>
  <c r="G27" i="7" s="1"/>
  <c r="K27" i="7" s="1"/>
  <c r="F27" i="8" s="1"/>
  <c r="G27" i="8" s="1"/>
  <c r="K27" i="8" s="1"/>
  <c r="K20" i="1"/>
  <c r="F20" i="2" s="1"/>
  <c r="G20" i="2" s="1"/>
  <c r="K20" i="2" s="1"/>
  <c r="F20" i="3" s="1"/>
  <c r="G20" i="3" s="1"/>
  <c r="K20" i="3" s="1"/>
  <c r="F20" i="4" s="1"/>
  <c r="G20" i="4" s="1"/>
  <c r="K20" i="4" s="1"/>
  <c r="F20" i="5" s="1"/>
  <c r="G20" i="5" s="1"/>
  <c r="K20" i="5" s="1"/>
  <c r="F20" i="6" s="1"/>
  <c r="G20" i="6" s="1"/>
  <c r="K20" i="6" s="1"/>
  <c r="F20" i="7" s="1"/>
  <c r="G20" i="7" s="1"/>
  <c r="K20" i="7" s="1"/>
  <c r="F20" i="8" s="1"/>
  <c r="G20" i="8" s="1"/>
  <c r="K20" i="8" s="1"/>
  <c r="H30" i="1"/>
  <c r="H32" i="1" s="1"/>
  <c r="H42" i="1"/>
  <c r="K25" i="4"/>
  <c r="F25" i="5" s="1"/>
  <c r="G25" i="5" s="1"/>
  <c r="K25" i="5" s="1"/>
  <c r="F25" i="6" s="1"/>
  <c r="G25" i="6" s="1"/>
  <c r="K25" i="6" s="1"/>
  <c r="F25" i="7" s="1"/>
  <c r="G25" i="7" s="1"/>
  <c r="K25" i="7" s="1"/>
  <c r="F25" i="8" s="1"/>
  <c r="G25" i="8" s="1"/>
  <c r="H30" i="4"/>
  <c r="H32" i="4" s="1"/>
  <c r="H34" i="4" s="1"/>
  <c r="K18" i="1"/>
  <c r="F18" i="2" s="1"/>
  <c r="G18" i="2" s="1"/>
  <c r="K18" i="2" s="1"/>
  <c r="F18" i="3" s="1"/>
  <c r="G18" i="3" s="1"/>
  <c r="K18" i="3" s="1"/>
  <c r="F18" i="4" s="1"/>
  <c r="G18" i="4" s="1"/>
  <c r="K18" i="4" s="1"/>
  <c r="F18" i="5" s="1"/>
  <c r="G18" i="5" s="1"/>
  <c r="K18" i="5" s="1"/>
  <c r="F18" i="6" s="1"/>
  <c r="G18" i="6" s="1"/>
  <c r="K18" i="6" s="1"/>
  <c r="F18" i="7" s="1"/>
  <c r="G18" i="7" s="1"/>
  <c r="K18" i="7" s="1"/>
  <c r="F18" i="8" s="1"/>
  <c r="G18" i="8" s="1"/>
  <c r="K18" i="8" s="1"/>
  <c r="K16" i="1"/>
  <c r="F16" i="2" s="1"/>
  <c r="G16" i="2" s="1"/>
  <c r="K16" i="2" s="1"/>
  <c r="F16" i="3" s="1"/>
  <c r="G16" i="3" s="1"/>
  <c r="K16" i="3" s="1"/>
  <c r="F16" i="4" s="1"/>
  <c r="G16" i="4" s="1"/>
  <c r="K16" i="4" s="1"/>
  <c r="F16" i="5" s="1"/>
  <c r="G16" i="5" s="1"/>
  <c r="K16" i="5" s="1"/>
  <c r="F16" i="6" s="1"/>
  <c r="G16" i="6" s="1"/>
  <c r="K16" i="6" s="1"/>
  <c r="F16" i="7" s="1"/>
  <c r="G16" i="7" s="1"/>
  <c r="K16" i="7" s="1"/>
  <c r="F16" i="8" s="1"/>
  <c r="G16" i="8" s="1"/>
  <c r="K16" i="8" s="1"/>
  <c r="K17" i="8"/>
  <c r="K22" i="8"/>
  <c r="K14" i="8"/>
  <c r="K29" i="8"/>
  <c r="K13" i="8"/>
  <c r="F13" i="9" s="1"/>
  <c r="G13" i="9" s="1"/>
  <c r="K13" i="9" s="1"/>
  <c r="K15" i="8"/>
  <c r="K11" i="2"/>
  <c r="F12" i="2"/>
  <c r="H33" i="1"/>
  <c r="F11" i="7"/>
  <c r="K28" i="8"/>
  <c r="H30" i="8"/>
  <c r="H32" i="8" s="1"/>
  <c r="H34" i="8" s="1"/>
  <c r="K24" i="8"/>
  <c r="K25" i="8"/>
  <c r="K30" i="1" l="1"/>
  <c r="H34" i="1"/>
  <c r="H37" i="1" s="1"/>
  <c r="K37" i="1" s="1"/>
  <c r="H35" i="2" s="1"/>
  <c r="H37" i="2" s="1"/>
  <c r="K37" i="2" s="1"/>
  <c r="H35" i="3" s="1"/>
  <c r="H37" i="3" s="1"/>
  <c r="K37" i="3" s="1"/>
  <c r="H35" i="5" s="1"/>
  <c r="H37" i="5" s="1"/>
  <c r="K37" i="5" s="1"/>
  <c r="H35" i="6" s="1"/>
  <c r="H37" i="6" s="1"/>
  <c r="K37" i="6" s="1"/>
  <c r="H35" i="7" s="1"/>
  <c r="H37" i="7" s="1"/>
  <c r="K37" i="7" s="1"/>
  <c r="H35" i="8" s="1"/>
  <c r="H37" i="8" s="1"/>
  <c r="K37" i="8" s="1"/>
  <c r="H35" i="9" s="1"/>
  <c r="H37" i="9" s="1"/>
  <c r="K37" i="9" s="1"/>
  <c r="F30" i="2"/>
  <c r="G12" i="2"/>
  <c r="F11" i="3"/>
  <c r="G11" i="7"/>
  <c r="H35" i="4" l="1"/>
  <c r="H37" i="4" s="1"/>
  <c r="K37" i="4" s="1"/>
  <c r="K11" i="7"/>
  <c r="G11" i="3"/>
  <c r="K12" i="2"/>
  <c r="G30" i="2"/>
  <c r="H42" i="2" s="1"/>
  <c r="K11" i="3" l="1"/>
  <c r="F12" i="3"/>
  <c r="K30" i="2"/>
  <c r="G12" i="3" l="1"/>
  <c r="F30" i="3"/>
  <c r="G11" i="8"/>
  <c r="F11" i="4"/>
  <c r="G11" i="4" l="1"/>
  <c r="K12" i="3"/>
  <c r="G30" i="3"/>
  <c r="H42" i="3" s="1"/>
  <c r="K11" i="8"/>
  <c r="F11" i="9" s="1"/>
  <c r="G11" i="9" l="1"/>
  <c r="K11" i="4"/>
  <c r="F12" i="4"/>
  <c r="K30" i="3"/>
  <c r="K11" i="9" l="1"/>
  <c r="G12" i="4"/>
  <c r="F30" i="4"/>
  <c r="F11" i="5"/>
  <c r="G11" i="5" l="1"/>
  <c r="K12" i="4"/>
  <c r="G30" i="4"/>
  <c r="H42" i="4" s="1"/>
  <c r="K11" i="5" l="1"/>
  <c r="F12" i="5"/>
  <c r="K30" i="4"/>
  <c r="G12" i="5" l="1"/>
  <c r="F30" i="5"/>
  <c r="K12" i="5" l="1"/>
  <c r="G30" i="5"/>
  <c r="F12" i="6" l="1"/>
  <c r="K30" i="5"/>
  <c r="F30" i="6" l="1"/>
  <c r="G12" i="6"/>
  <c r="G30" i="6" l="1"/>
  <c r="H41" i="6" s="1"/>
  <c r="K12" i="6"/>
  <c r="F12" i="7" l="1"/>
  <c r="K30" i="6"/>
  <c r="G12" i="7" l="1"/>
  <c r="F30" i="7"/>
  <c r="K12" i="7" l="1"/>
  <c r="G30" i="7"/>
  <c r="H41" i="7" s="1"/>
  <c r="K30" i="7" l="1"/>
  <c r="G12" i="8" l="1"/>
  <c r="F30" i="8"/>
  <c r="K12" i="8" l="1"/>
  <c r="G30" i="8"/>
  <c r="H41" i="8" s="1"/>
  <c r="K30" i="8" l="1"/>
  <c r="F12" i="9"/>
  <c r="G12" i="9" l="1"/>
  <c r="F30" i="9"/>
  <c r="K12" i="9" l="1"/>
  <c r="K30" i="9" s="1"/>
  <c r="G30" i="9"/>
  <c r="H41" i="9" s="1"/>
</calcChain>
</file>

<file path=xl/sharedStrings.xml><?xml version="1.0" encoding="utf-8"?>
<sst xmlns="http://schemas.openxmlformats.org/spreadsheetml/2006/main" count="1113" uniqueCount="203">
  <si>
    <t>LOBBY ENTERPRISES</t>
  </si>
  <si>
    <t xml:space="preserve">                                                        PROPERTY MANAGERS AND ESTATE AGENTS</t>
  </si>
  <si>
    <t>P.O.BOX 11987</t>
  </si>
  <si>
    <t>ANITA PLOT</t>
  </si>
  <si>
    <t>TEL : 0722711933/4454322</t>
  </si>
  <si>
    <t>A/C No '0630179417471</t>
  </si>
  <si>
    <t>Tel No</t>
  </si>
  <si>
    <t>Care taker</t>
  </si>
  <si>
    <t>ANITA</t>
  </si>
  <si>
    <t>Phone no</t>
  </si>
  <si>
    <t>HSE NO</t>
  </si>
  <si>
    <t>NAME</t>
  </si>
  <si>
    <t>PHONE NO</t>
  </si>
  <si>
    <t>DEPOSIT PAID</t>
  </si>
  <si>
    <t>MONTHLY RENT</t>
  </si>
  <si>
    <t>BAL B/D</t>
  </si>
  <si>
    <t>RENT DUE</t>
  </si>
  <si>
    <t>RENT PAID</t>
  </si>
  <si>
    <t>RCT NO</t>
  </si>
  <si>
    <t>PERIOD</t>
  </si>
  <si>
    <t>BALANCE</t>
  </si>
  <si>
    <t>STATUS</t>
  </si>
  <si>
    <t>FORMS</t>
  </si>
  <si>
    <t>RACHAEL</t>
  </si>
  <si>
    <t>0741311326</t>
  </si>
  <si>
    <t>SIGNED</t>
  </si>
  <si>
    <t>IMELDA</t>
  </si>
  <si>
    <t>'0707746822</t>
  </si>
  <si>
    <t>JOHN MUTEMBEI</t>
  </si>
  <si>
    <t>0113100973</t>
  </si>
  <si>
    <t>0720726146</t>
  </si>
  <si>
    <t>VACANT</t>
  </si>
  <si>
    <t>SUSAN WANJIKU</t>
  </si>
  <si>
    <t>0792878247</t>
  </si>
  <si>
    <t>VICTOR KIVUTSI</t>
  </si>
  <si>
    <t>0720788630</t>
  </si>
  <si>
    <t>10th</t>
  </si>
  <si>
    <t>ANNASTACIA</t>
  </si>
  <si>
    <t>0725869394</t>
  </si>
  <si>
    <t>CHEBITA OMBOGO /OSCAR</t>
  </si>
  <si>
    <t>0711275102</t>
  </si>
  <si>
    <t xml:space="preserve">BENARD MUTHUI </t>
  </si>
  <si>
    <t>0729369553</t>
  </si>
  <si>
    <t>DAVID THIANI</t>
  </si>
  <si>
    <t>0715806277</t>
  </si>
  <si>
    <t>MARY NYAMBURA(CHURCH)</t>
  </si>
  <si>
    <t>0722135696</t>
  </si>
  <si>
    <t>15TH</t>
  </si>
  <si>
    <t>Vacant</t>
  </si>
  <si>
    <t>ANNE WANJIRU</t>
  </si>
  <si>
    <t>0740712315</t>
  </si>
  <si>
    <t>IRENE MAKENA</t>
  </si>
  <si>
    <t>0719665779</t>
  </si>
  <si>
    <t>WILLIAM /GOEFREY</t>
  </si>
  <si>
    <t>0727561491</t>
  </si>
  <si>
    <t>Totals</t>
  </si>
  <si>
    <t>Deductions</t>
  </si>
  <si>
    <t>Less Management fees</t>
  </si>
  <si>
    <t>DIRECT</t>
  </si>
  <si>
    <t>TOTAL DEDUCTIONS</t>
  </si>
  <si>
    <t xml:space="preserve"> </t>
  </si>
  <si>
    <t>BAL B/F</t>
  </si>
  <si>
    <t>PAID</t>
  </si>
  <si>
    <t>Balance</t>
  </si>
  <si>
    <t>AMOUNT DUE</t>
  </si>
  <si>
    <t>AUTHORISED BY JOSEPH GITHINJI</t>
  </si>
  <si>
    <t xml:space="preserve">                                                                                    JAN 2026</t>
  </si>
  <si>
    <t>JAN</t>
  </si>
  <si>
    <t>UA4FX2Y578</t>
  </si>
  <si>
    <t>UA62231VSX</t>
  </si>
  <si>
    <t>UA75D33X6Y</t>
  </si>
  <si>
    <t>UAAC63GC1D</t>
  </si>
  <si>
    <t>UACKF3J5FZ</t>
  </si>
  <si>
    <t>UADQ23F0JD</t>
  </si>
  <si>
    <t>UAA7F3GUHD</t>
  </si>
  <si>
    <t>0799945987</t>
  </si>
  <si>
    <t>UAG4G481C0</t>
  </si>
  <si>
    <t>GEORGE OUCHA</t>
  </si>
  <si>
    <t>UAICC47UZY</t>
  </si>
  <si>
    <t>UA67F34H9W/UAJ7F4BZ8P</t>
  </si>
  <si>
    <t>ELIZABETH K</t>
  </si>
  <si>
    <t>UAEA53YFSY</t>
  </si>
  <si>
    <t>UAJ6U42AQY</t>
  </si>
  <si>
    <t>UAB233P67U/UAJ234CWXY/UA5235A3KH</t>
  </si>
  <si>
    <t>OFF</t>
  </si>
  <si>
    <t>FEB</t>
  </si>
  <si>
    <t xml:space="preserve">                                                                                    FEB 2026</t>
  </si>
  <si>
    <t>UB5FX5UJ92</t>
  </si>
  <si>
    <t>UB5225UYB</t>
  </si>
  <si>
    <t>ELIZABETH KURA</t>
  </si>
  <si>
    <t>UB9D966QO</t>
  </si>
  <si>
    <t>UBBQ260N71</t>
  </si>
  <si>
    <t>UBBKF6CJ5T</t>
  </si>
  <si>
    <t>UBBA56MTAH</t>
  </si>
  <si>
    <t>UBC6U6CO0N</t>
  </si>
  <si>
    <t>UBG4G77IND</t>
  </si>
  <si>
    <t>UB97F691S1/UBK7F7CTE2</t>
  </si>
  <si>
    <t>UBA5D69YYP</t>
  </si>
  <si>
    <t>UB2235NXZI/UBH2373ZL7/UBQ2381BBT</t>
  </si>
  <si>
    <t>ELIZABETH    OMUSE</t>
  </si>
  <si>
    <t>LOCKED</t>
  </si>
  <si>
    <t>MAR</t>
  </si>
  <si>
    <t xml:space="preserve">                                                                                    MAR 2026</t>
  </si>
  <si>
    <t>UC3Q27UVXU</t>
  </si>
  <si>
    <t>UC5FX8I8F6</t>
  </si>
  <si>
    <t>UC6228K0QL</t>
  </si>
  <si>
    <t>UC77F8QTPK</t>
  </si>
  <si>
    <t>UC96U8MK0D</t>
  </si>
  <si>
    <t>UCA5D8WIO5</t>
  </si>
  <si>
    <t>UCAKF8XTDJ</t>
  </si>
  <si>
    <t>NDUNGÚ KINUTHIA</t>
  </si>
  <si>
    <t>UC9658Y74R</t>
  </si>
  <si>
    <t>TENANT</t>
  </si>
  <si>
    <t>UCEA59KZD5</t>
  </si>
  <si>
    <t>UCFC69K6DP</t>
  </si>
  <si>
    <t>UC4G9YFDE</t>
  </si>
  <si>
    <t>UCOCCAG0C7</t>
  </si>
  <si>
    <t>APR</t>
  </si>
  <si>
    <t xml:space="preserve">                                                                                    APR 2026</t>
  </si>
  <si>
    <t>UD5FXBUAQJ</t>
  </si>
  <si>
    <t>UD72202YZY</t>
  </si>
  <si>
    <t>UDA7FF0GASF/UDC7F0QR6P</t>
  </si>
  <si>
    <t>UDA6U06H1T</t>
  </si>
  <si>
    <t>RCTD</t>
  </si>
  <si>
    <t>UDBKF0G6CG</t>
  </si>
  <si>
    <t>UDFA5197T4</t>
  </si>
  <si>
    <t>UDF2315XGY</t>
  </si>
  <si>
    <t>UCB7F95NK3/UCN7FABE79/UCT7FB292N</t>
  </si>
  <si>
    <t>UC3238IOZS/UCD239EE6/UD123BFR7F</t>
  </si>
  <si>
    <t>UD7Q2BJO2S</t>
  </si>
  <si>
    <t>UDA5D0AYI5</t>
  </si>
  <si>
    <t>UD77F07IB5</t>
  </si>
  <si>
    <t>UDG4G1KAZD</t>
  </si>
  <si>
    <t>MAY</t>
  </si>
  <si>
    <t xml:space="preserve">                                                                                    MAY 2026</t>
  </si>
  <si>
    <t>UEFX3GFZ0</t>
  </si>
  <si>
    <t>UE7223ENT8</t>
  </si>
  <si>
    <t>UE85D3I5W0</t>
  </si>
  <si>
    <t>UEA7F3Z6Q4</t>
  </si>
  <si>
    <t>UEB6U3N1Z0</t>
  </si>
  <si>
    <t>UEDKF43ZFP</t>
  </si>
  <si>
    <t>UEC7F45G8U/UED7F4BPJB</t>
  </si>
  <si>
    <t>UE8Q2348C2</t>
  </si>
  <si>
    <t>UEF4G4UV05</t>
  </si>
  <si>
    <t>UEHA551K5F</t>
  </si>
  <si>
    <t>UEJ654YU2V</t>
  </si>
  <si>
    <t>UE6233P9VD/UEL235C3PH/UEP2355H4L/UER2360O32</t>
  </si>
  <si>
    <t>OCT MESSAGE NOT ON STATEMENT</t>
  </si>
  <si>
    <t>REDUCING</t>
  </si>
  <si>
    <t>TO  EVICT</t>
  </si>
  <si>
    <t>JUNE</t>
  </si>
  <si>
    <t xml:space="preserve">                                                                                    JUNE 2026</t>
  </si>
  <si>
    <t>UF6FX749LX</t>
  </si>
  <si>
    <t>UF7226ZON5</t>
  </si>
  <si>
    <t>UF87F788QM</t>
  </si>
  <si>
    <t>UF86U6TW2Q</t>
  </si>
  <si>
    <t>UFA5D794YF</t>
  </si>
  <si>
    <t>UFBKF72T0</t>
  </si>
  <si>
    <t>UFG4G8N7UU</t>
  </si>
  <si>
    <t>UF97F7EZKA/UFG7F86BVX</t>
  </si>
  <si>
    <t>UFHA58LZHG</t>
  </si>
  <si>
    <t>UFN6590PTJ</t>
  </si>
  <si>
    <t>UF238JWEU/UFQ239KGLM</t>
  </si>
  <si>
    <t>UFBQ26W56S</t>
  </si>
  <si>
    <t>JULY</t>
  </si>
  <si>
    <t xml:space="preserve">                                                                                    JULY 2026</t>
  </si>
  <si>
    <t>UG67FAHDCH</t>
  </si>
  <si>
    <t>UG522A7J00</t>
  </si>
  <si>
    <t>UG5FXAH8AA</t>
  </si>
  <si>
    <t>UG6C6AKXF6</t>
  </si>
  <si>
    <t>EUGINE SIMIYU</t>
  </si>
  <si>
    <t>UG6K2AAEZX</t>
  </si>
  <si>
    <t>UG95DAL7VE</t>
  </si>
  <si>
    <t>UGAIAVHFO</t>
  </si>
  <si>
    <t>UGBCAWJLK</t>
  </si>
  <si>
    <t>UGF6UAXUN0</t>
  </si>
  <si>
    <t>STEPHEN</t>
  </si>
  <si>
    <t>0726216581</t>
  </si>
  <si>
    <t>UGGA5057C9</t>
  </si>
  <si>
    <t>UGH4G0B6KF</t>
  </si>
  <si>
    <t>UGK6507MXD</t>
  </si>
  <si>
    <t>UG323AEOIU/UGG2300PDA/UGM230O6OI</t>
  </si>
  <si>
    <t xml:space="preserve">0715806277 </t>
  </si>
  <si>
    <t>LOCKED TO EVICT</t>
  </si>
  <si>
    <t>TO LOCK</t>
  </si>
  <si>
    <t>AUG</t>
  </si>
  <si>
    <t xml:space="preserve">                                                                                    AUG 2026</t>
  </si>
  <si>
    <t>UH5FX21EP1</t>
  </si>
  <si>
    <t>UHS221P0LX</t>
  </si>
  <si>
    <t>UH8K225V7N</t>
  </si>
  <si>
    <t>UH95D25W51</t>
  </si>
  <si>
    <t>UH97F2J596</t>
  </si>
  <si>
    <t>U8KF2KWR4</t>
  </si>
  <si>
    <t>UH1Q20OFEL/UHCQ21XBL6</t>
  </si>
  <si>
    <t>UHI4G3ZSTL</t>
  </si>
  <si>
    <t>UHA7F2NSO1/UHE7F33R4G</t>
  </si>
  <si>
    <t>UHD6U2DWPR</t>
  </si>
  <si>
    <t>UHPSL46S4P</t>
  </si>
  <si>
    <t>UH32321MML/UHJ233X4MU/UHP234MTM6</t>
  </si>
  <si>
    <t>SEP</t>
  </si>
  <si>
    <t xml:space="preserve">                                                                                    SEP 2026</t>
  </si>
  <si>
    <t>UI4FX5IZ54</t>
  </si>
  <si>
    <t>UI2235L0YA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</si>
</sst>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8"/>
      <color rgb="FF00B0F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b/>
      <u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1" fillId="0" borderId="0"/>
  </cellStyleXfs>
  <cellXfs count="89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43" fontId="2" fillId="0" borderId="1" xfId="1" applyFont="1" applyFill="1" applyBorder="1" applyAlignment="1">
      <alignment horizontal="left"/>
    </xf>
    <xf numFmtId="0" fontId="4" fillId="0" borderId="1" xfId="0" applyFont="1" applyBorder="1"/>
    <xf numFmtId="3" fontId="2" fillId="0" borderId="1" xfId="1" applyNumberFormat="1" applyFont="1" applyFill="1" applyBorder="1"/>
    <xf numFmtId="43" fontId="2" fillId="0" borderId="1" xfId="1" applyFont="1" applyFill="1" applyBorder="1"/>
    <xf numFmtId="0" fontId="2" fillId="0" borderId="1" xfId="1" applyNumberFormat="1" applyFont="1" applyFill="1" applyBorder="1" applyAlignment="1">
      <alignment wrapText="1"/>
    </xf>
    <xf numFmtId="0" fontId="2" fillId="0" borderId="1" xfId="1" applyNumberFormat="1" applyFont="1" applyFill="1" applyBorder="1"/>
    <xf numFmtId="43" fontId="4" fillId="0" borderId="1" xfId="1" applyFont="1" applyFill="1" applyBorder="1"/>
    <xf numFmtId="43" fontId="5" fillId="0" borderId="1" xfId="1" applyFont="1" applyFill="1" applyBorder="1"/>
    <xf numFmtId="0" fontId="6" fillId="0" borderId="0" xfId="0" applyFont="1"/>
    <xf numFmtId="0" fontId="7" fillId="0" borderId="1" xfId="0" applyFont="1" applyBorder="1"/>
    <xf numFmtId="43" fontId="8" fillId="0" borderId="1" xfId="1" applyFont="1" applyFill="1" applyBorder="1"/>
    <xf numFmtId="43" fontId="9" fillId="0" borderId="1" xfId="1" applyFont="1" applyFill="1" applyBorder="1"/>
    <xf numFmtId="0" fontId="8" fillId="0" borderId="1" xfId="0" applyFont="1" applyBorder="1"/>
    <xf numFmtId="3" fontId="8" fillId="0" borderId="1" xfId="1" applyNumberFormat="1" applyFont="1" applyFill="1" applyBorder="1"/>
    <xf numFmtId="0" fontId="8" fillId="0" borderId="1" xfId="1" applyNumberFormat="1" applyFont="1" applyFill="1" applyBorder="1" applyAlignment="1">
      <alignment wrapText="1"/>
    </xf>
    <xf numFmtId="0" fontId="8" fillId="0" borderId="1" xfId="1" applyNumberFormat="1" applyFont="1" applyFill="1" applyBorder="1"/>
    <xf numFmtId="43" fontId="8" fillId="0" borderId="1" xfId="1" applyFont="1" applyFill="1" applyBorder="1" applyAlignment="1">
      <alignment horizontal="left"/>
    </xf>
    <xf numFmtId="3" fontId="3" fillId="0" borderId="1" xfId="0" applyNumberFormat="1" applyFont="1" applyBorder="1"/>
    <xf numFmtId="43" fontId="2" fillId="0" borderId="1" xfId="1" applyFont="1" applyFill="1" applyBorder="1" applyAlignment="1">
      <alignment horizontal="right" wrapText="1"/>
    </xf>
    <xf numFmtId="43" fontId="2" fillId="0" borderId="1" xfId="1" applyFont="1" applyFill="1" applyBorder="1" applyAlignment="1">
      <alignment wrapText="1"/>
    </xf>
    <xf numFmtId="43" fontId="2" fillId="0" borderId="1" xfId="1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0" fontId="3" fillId="0" borderId="1" xfId="0" quotePrefix="1" applyFont="1" applyBorder="1"/>
    <xf numFmtId="43" fontId="3" fillId="0" borderId="1" xfId="1" applyFont="1" applyFill="1" applyBorder="1" applyAlignment="1">
      <alignment horizontal="right"/>
    </xf>
    <xf numFmtId="37" fontId="3" fillId="0" borderId="1" xfId="1" applyNumberFormat="1" applyFont="1" applyFill="1" applyBorder="1"/>
    <xf numFmtId="164" fontId="3" fillId="0" borderId="1" xfId="0" applyNumberFormat="1" applyFont="1" applyBorder="1"/>
    <xf numFmtId="164" fontId="10" fillId="0" borderId="1" xfId="1" applyNumberFormat="1" applyFont="1" applyFill="1" applyBorder="1" applyAlignment="1">
      <alignment horizontal="left"/>
    </xf>
    <xf numFmtId="0" fontId="10" fillId="0" borderId="1" xfId="0" quotePrefix="1" applyFont="1" applyBorder="1" applyAlignment="1">
      <alignment horizontal="center" wrapText="1"/>
    </xf>
    <xf numFmtId="17" fontId="3" fillId="0" borderId="1" xfId="0" applyNumberFormat="1" applyFont="1" applyBorder="1" applyAlignment="1">
      <alignment horizontal="center"/>
    </xf>
    <xf numFmtId="164" fontId="8" fillId="0" borderId="1" xfId="0" applyNumberFormat="1" applyFont="1" applyBorder="1"/>
    <xf numFmtId="0" fontId="10" fillId="0" borderId="1" xfId="0" applyFont="1" applyBorder="1"/>
    <xf numFmtId="164" fontId="3" fillId="0" borderId="1" xfId="1" applyNumberFormat="1" applyFont="1" applyFill="1" applyBorder="1" applyAlignment="1">
      <alignment horizontal="right"/>
    </xf>
    <xf numFmtId="164" fontId="3" fillId="0" borderId="1" xfId="1" applyNumberFormat="1" applyFont="1" applyFill="1" applyBorder="1" applyAlignment="1">
      <alignment horizontal="left"/>
    </xf>
    <xf numFmtId="165" fontId="6" fillId="0" borderId="0" xfId="0" applyNumberFormat="1" applyFont="1"/>
    <xf numFmtId="49" fontId="11" fillId="0" borderId="2" xfId="2" applyNumberFormat="1" applyBorder="1" applyAlignment="1">
      <alignment horizontal="left"/>
    </xf>
    <xf numFmtId="164" fontId="10" fillId="0" borderId="1" xfId="1" applyNumberFormat="1" applyFont="1" applyFill="1" applyBorder="1" applyAlignment="1">
      <alignment horizontal="right"/>
    </xf>
    <xf numFmtId="0" fontId="3" fillId="0" borderId="1" xfId="0" quotePrefix="1" applyFont="1" applyBorder="1" applyAlignment="1">
      <alignment horizontal="center" wrapText="1"/>
    </xf>
    <xf numFmtId="14" fontId="8" fillId="0" borderId="1" xfId="0" applyNumberFormat="1" applyFont="1" applyBorder="1"/>
    <xf numFmtId="43" fontId="6" fillId="0" borderId="1" xfId="0" applyNumberFormat="1" applyFont="1" applyBorder="1"/>
    <xf numFmtId="0" fontId="12" fillId="0" borderId="1" xfId="0" applyFont="1" applyBorder="1"/>
    <xf numFmtId="49" fontId="3" fillId="0" borderId="1" xfId="0" applyNumberFormat="1" applyFont="1" applyBorder="1"/>
    <xf numFmtId="37" fontId="8" fillId="0" borderId="1" xfId="1" applyNumberFormat="1" applyFont="1" applyFill="1" applyBorder="1"/>
    <xf numFmtId="37" fontId="8" fillId="0" borderId="1" xfId="1" applyNumberFormat="1" applyFont="1" applyFill="1" applyBorder="1" applyAlignment="1">
      <alignment wrapText="1"/>
    </xf>
    <xf numFmtId="43" fontId="9" fillId="0" borderId="1" xfId="0" applyNumberFormat="1" applyFont="1" applyBorder="1"/>
    <xf numFmtId="43" fontId="2" fillId="0" borderId="1" xfId="0" applyNumberFormat="1" applyFont="1" applyBorder="1" applyAlignment="1">
      <alignment horizontal="left"/>
    </xf>
    <xf numFmtId="43" fontId="2" fillId="0" borderId="1" xfId="0" applyNumberFormat="1" applyFont="1" applyBorder="1" applyAlignment="1">
      <alignment horizontal="right"/>
    </xf>
    <xf numFmtId="43" fontId="2" fillId="0" borderId="1" xfId="0" applyNumberFormat="1" applyFont="1" applyBorder="1"/>
    <xf numFmtId="3" fontId="2" fillId="0" borderId="1" xfId="0" applyNumberFormat="1" applyFont="1" applyBorder="1"/>
    <xf numFmtId="43" fontId="7" fillId="0" borderId="1" xfId="0" applyNumberFormat="1" applyFont="1" applyBorder="1"/>
    <xf numFmtId="37" fontId="3" fillId="0" borderId="1" xfId="0" applyNumberFormat="1" applyFont="1" applyBorder="1"/>
    <xf numFmtId="164" fontId="3" fillId="0" borderId="1" xfId="1" applyNumberFormat="1" applyFont="1" applyFill="1" applyBorder="1"/>
    <xf numFmtId="0" fontId="3" fillId="0" borderId="1" xfId="0" applyFont="1" applyBorder="1" applyAlignment="1">
      <alignment wrapText="1"/>
    </xf>
    <xf numFmtId="0" fontId="6" fillId="0" borderId="1" xfId="0" applyFont="1" applyBorder="1"/>
    <xf numFmtId="164" fontId="13" fillId="0" borderId="1" xfId="1" applyNumberFormat="1" applyFont="1" applyFill="1" applyBorder="1"/>
    <xf numFmtId="3" fontId="8" fillId="0" borderId="1" xfId="0" applyNumberFormat="1" applyFont="1" applyBorder="1"/>
    <xf numFmtId="164" fontId="8" fillId="0" borderId="1" xfId="1" applyNumberFormat="1" applyFont="1" applyFill="1" applyBorder="1"/>
    <xf numFmtId="0" fontId="8" fillId="0" borderId="1" xfId="0" applyFont="1" applyBorder="1" applyAlignment="1">
      <alignment wrapText="1"/>
    </xf>
    <xf numFmtId="0" fontId="9" fillId="0" borderId="1" xfId="0" applyFont="1" applyBorder="1"/>
    <xf numFmtId="0" fontId="14" fillId="0" borderId="1" xfId="0" applyFont="1" applyBorder="1" applyAlignment="1">
      <alignment wrapText="1"/>
    </xf>
    <xf numFmtId="0" fontId="14" fillId="0" borderId="1" xfId="0" applyFont="1" applyBorder="1"/>
    <xf numFmtId="164" fontId="2" fillId="0" borderId="3" xfId="1" applyNumberFormat="1" applyFont="1" applyFill="1" applyBorder="1"/>
    <xf numFmtId="3" fontId="8" fillId="0" borderId="1" xfId="0" applyNumberFormat="1" applyFont="1" applyBorder="1" applyAlignment="1">
      <alignment wrapText="1"/>
    </xf>
    <xf numFmtId="3" fontId="8" fillId="0" borderId="1" xfId="0" applyNumberFormat="1" applyFont="1" applyBorder="1" applyAlignment="1">
      <alignment horizontal="center"/>
    </xf>
    <xf numFmtId="14" fontId="8" fillId="0" borderId="1" xfId="1" applyNumberFormat="1" applyFont="1" applyFill="1" applyBorder="1"/>
    <xf numFmtId="14" fontId="3" fillId="0" borderId="1" xfId="1" applyNumberFormat="1" applyFont="1" applyFill="1" applyBorder="1"/>
    <xf numFmtId="14" fontId="6" fillId="0" borderId="1" xfId="1" applyNumberFormat="1" applyFont="1" applyFill="1" applyBorder="1"/>
    <xf numFmtId="37" fontId="6" fillId="0" borderId="0" xfId="0" applyNumberFormat="1" applyFont="1"/>
    <xf numFmtId="164" fontId="6" fillId="0" borderId="0" xfId="0" applyNumberFormat="1" applyFont="1"/>
    <xf numFmtId="0" fontId="6" fillId="0" borderId="0" xfId="0" applyFont="1" applyAlignment="1">
      <alignment wrapText="1"/>
    </xf>
    <xf numFmtId="164" fontId="6" fillId="0" borderId="0" xfId="0" applyNumberFormat="1" applyFont="1" applyAlignment="1">
      <alignment wrapText="1"/>
    </xf>
    <xf numFmtId="43" fontId="6" fillId="0" borderId="0" xfId="0" applyNumberFormat="1" applyFont="1"/>
    <xf numFmtId="0" fontId="9" fillId="0" borderId="0" xfId="0" applyFont="1"/>
    <xf numFmtId="0" fontId="10" fillId="2" borderId="1" xfId="0" quotePrefix="1" applyFont="1" applyFill="1" applyBorder="1" applyAlignment="1">
      <alignment horizontal="center" wrapText="1"/>
    </xf>
    <xf numFmtId="0" fontId="3" fillId="2" borderId="1" xfId="0" quotePrefix="1" applyFont="1" applyFill="1" applyBorder="1" applyAlignment="1">
      <alignment horizontal="center" wrapText="1"/>
    </xf>
    <xf numFmtId="164" fontId="10" fillId="0" borderId="1" xfId="1" applyNumberFormat="1" applyFont="1" applyFill="1" applyBorder="1"/>
    <xf numFmtId="0" fontId="3" fillId="2" borderId="1" xfId="0" applyFont="1" applyFill="1" applyBorder="1" applyAlignment="1">
      <alignment horizontal="center" wrapText="1"/>
    </xf>
    <xf numFmtId="164" fontId="10" fillId="3" borderId="1" xfId="1" applyNumberFormat="1" applyFont="1" applyFill="1" applyBorder="1" applyAlignment="1">
      <alignment horizontal="left"/>
    </xf>
    <xf numFmtId="0" fontId="10" fillId="3" borderId="1" xfId="0" quotePrefix="1" applyFont="1" applyFill="1" applyBorder="1" applyAlignment="1">
      <alignment horizontal="center" wrapText="1"/>
    </xf>
    <xf numFmtId="17" fontId="3" fillId="3" borderId="1" xfId="0" applyNumberFormat="1" applyFont="1" applyFill="1" applyBorder="1" applyAlignment="1">
      <alignment horizontal="center"/>
    </xf>
    <xf numFmtId="164" fontId="3" fillId="3" borderId="1" xfId="1" applyNumberFormat="1" applyFont="1" applyFill="1" applyBorder="1" applyAlignment="1">
      <alignment horizontal="left"/>
    </xf>
    <xf numFmtId="0" fontId="6" fillId="3" borderId="0" xfId="0" applyFont="1" applyFill="1"/>
    <xf numFmtId="49" fontId="11" fillId="3" borderId="2" xfId="2" applyNumberFormat="1" applyFill="1" applyBorder="1" applyAlignment="1">
      <alignment horizontal="left"/>
    </xf>
    <xf numFmtId="0" fontId="3" fillId="3" borderId="1" xfId="0" quotePrefix="1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wrapText="1"/>
    </xf>
    <xf numFmtId="0" fontId="10" fillId="3" borderId="1" xfId="0" applyFont="1" applyFill="1" applyBorder="1" applyAlignment="1">
      <alignment horizontal="center" wrapText="1"/>
    </xf>
    <xf numFmtId="0" fontId="2" fillId="0" borderId="1" xfId="0" applyFont="1" applyBorder="1"/>
  </cellXfs>
  <cellStyles count="3">
    <cellStyle name="Comma" xfId="1" builtinId="3"/>
    <cellStyle name="Normal" xfId="0" builtinId="0"/>
    <cellStyle name="Normal 2" xfId="2" xr:uid="{428D9E21-E81F-4979-AAFE-DFE698A649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6c4013377bf6ed3a/LOBBY%20LINKED/LOBBY%202025/NAIROBI/ANITA%20(20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"/>
      <sheetName val="SEP"/>
      <sheetName val="OCT"/>
      <sheetName val="NOV"/>
      <sheetName val="D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7">
          <cell r="K37">
            <v>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3D42B-7C71-469F-84A1-E5C020C6AF88}">
  <sheetPr>
    <pageSetUpPr fitToPage="1"/>
  </sheetPr>
  <dimension ref="A1:O50"/>
  <sheetViews>
    <sheetView topLeftCell="A19" zoomScaleNormal="100" workbookViewId="0">
      <selection activeCell="H32" sqref="H32"/>
    </sheetView>
  </sheetViews>
  <sheetFormatPr defaultColWidth="9" defaultRowHeight="15.75"/>
  <cols>
    <col min="1" max="1" width="5.85546875" style="11" customWidth="1"/>
    <col min="2" max="2" width="24.7109375" style="11" customWidth="1"/>
    <col min="3" max="3" width="12" style="11" customWidth="1"/>
    <col min="4" max="4" width="10.28515625" style="11" customWidth="1"/>
    <col min="5" max="5" width="9.5703125" style="11" customWidth="1"/>
    <col min="6" max="6" width="9" style="11" customWidth="1"/>
    <col min="7" max="7" width="10.28515625" style="11" customWidth="1"/>
    <col min="8" max="8" width="11" style="11" customWidth="1"/>
    <col min="9" max="9" width="25.5703125" style="71" customWidth="1"/>
    <col min="10" max="10" width="14.42578125" style="11" customWidth="1"/>
    <col min="11" max="11" width="13.5703125" style="11" customWidth="1"/>
    <col min="12" max="12" width="10.28515625" style="11" customWidth="1"/>
    <col min="13" max="13" width="16.140625" style="11" customWidth="1"/>
    <col min="14" max="16384" width="9" style="11"/>
  </cols>
  <sheetData>
    <row r="1" spans="1:13">
      <c r="A1" s="1"/>
      <c r="B1" s="2"/>
      <c r="C1" s="3" t="s">
        <v>0</v>
      </c>
      <c r="D1" s="4"/>
      <c r="E1" s="2"/>
      <c r="F1" s="5"/>
      <c r="G1" s="6"/>
      <c r="H1" s="6"/>
      <c r="I1" s="7"/>
      <c r="J1" s="8"/>
      <c r="K1" s="9"/>
      <c r="L1" s="9"/>
      <c r="M1" s="10"/>
    </row>
    <row r="2" spans="1:13">
      <c r="A2" s="1" t="s">
        <v>1</v>
      </c>
      <c r="B2" s="1"/>
      <c r="C2" s="1"/>
      <c r="D2" s="1"/>
      <c r="E2" s="6"/>
      <c r="F2" s="5"/>
      <c r="G2" s="6"/>
      <c r="H2" s="6"/>
      <c r="I2" s="7"/>
      <c r="J2" s="8"/>
      <c r="K2" s="9"/>
      <c r="L2" s="9"/>
      <c r="M2" s="10"/>
    </row>
    <row r="3" spans="1:13">
      <c r="A3" s="88" t="s">
        <v>66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1"/>
      <c r="M3" s="12"/>
    </row>
    <row r="4" spans="1:13">
      <c r="A4" s="1"/>
      <c r="B4" s="1"/>
      <c r="C4" s="1"/>
      <c r="D4" s="6"/>
      <c r="E4" s="6"/>
      <c r="F4" s="5"/>
      <c r="G4" s="6"/>
      <c r="H4" s="6"/>
      <c r="I4" s="7" t="s">
        <v>2</v>
      </c>
      <c r="J4" s="8"/>
      <c r="K4" s="13"/>
      <c r="L4" s="13"/>
      <c r="M4" s="14"/>
    </row>
    <row r="5" spans="1:13">
      <c r="A5" s="15" t="s">
        <v>3</v>
      </c>
      <c r="B5" s="15"/>
      <c r="C5" s="15"/>
      <c r="D5" s="13"/>
      <c r="E5" s="13"/>
      <c r="F5" s="16"/>
      <c r="G5" s="13"/>
      <c r="H5" s="13"/>
      <c r="I5" s="17" t="s">
        <v>4</v>
      </c>
      <c r="J5" s="18"/>
      <c r="K5" s="13"/>
      <c r="L5" s="13"/>
      <c r="M5" s="14"/>
    </row>
    <row r="6" spans="1:13">
      <c r="A6" s="19" t="s">
        <v>5</v>
      </c>
      <c r="B6" s="2"/>
      <c r="C6" s="15"/>
      <c r="D6" s="13"/>
      <c r="E6" s="13"/>
      <c r="F6" s="16"/>
      <c r="G6" s="13"/>
      <c r="H6" s="13"/>
      <c r="I6" s="17"/>
      <c r="J6" s="18"/>
      <c r="K6" s="13"/>
      <c r="L6" s="13"/>
      <c r="M6" s="14"/>
    </row>
    <row r="7" spans="1:13">
      <c r="A7" s="15" t="s">
        <v>6</v>
      </c>
      <c r="B7" s="15"/>
      <c r="C7" s="15"/>
      <c r="D7" s="2"/>
      <c r="E7" s="2"/>
      <c r="F7" s="20"/>
      <c r="G7" s="2"/>
      <c r="H7" s="13"/>
      <c r="I7" s="17"/>
      <c r="J7" s="18"/>
      <c r="K7" s="13"/>
      <c r="L7" s="13"/>
      <c r="M7" s="14"/>
    </row>
    <row r="8" spans="1:13">
      <c r="A8" s="15"/>
      <c r="B8" s="15"/>
      <c r="C8" s="15"/>
      <c r="D8" s="2"/>
      <c r="E8" s="2"/>
      <c r="F8" s="20"/>
      <c r="G8" s="2"/>
      <c r="H8" s="13" t="s">
        <v>7</v>
      </c>
      <c r="I8" s="17" t="s">
        <v>8</v>
      </c>
      <c r="J8" s="18"/>
      <c r="K8" s="13"/>
      <c r="L8" s="13"/>
      <c r="M8" s="14"/>
    </row>
    <row r="9" spans="1:13">
      <c r="A9" s="15"/>
      <c r="B9" s="15"/>
      <c r="C9" s="15"/>
      <c r="D9" s="2"/>
      <c r="E9" s="2"/>
      <c r="F9" s="20"/>
      <c r="G9" s="2"/>
      <c r="H9" s="13" t="s">
        <v>9</v>
      </c>
      <c r="I9" s="17"/>
      <c r="J9" s="18"/>
      <c r="K9" s="13"/>
      <c r="L9" s="13"/>
      <c r="M9" s="14"/>
    </row>
    <row r="10" spans="1:13" ht="35.25" customHeight="1">
      <c r="A10" s="1" t="s">
        <v>10</v>
      </c>
      <c r="B10" s="1" t="s">
        <v>11</v>
      </c>
      <c r="C10" s="1" t="s">
        <v>12</v>
      </c>
      <c r="D10" s="21" t="s">
        <v>13</v>
      </c>
      <c r="E10" s="22" t="s">
        <v>14</v>
      </c>
      <c r="F10" s="5" t="s">
        <v>15</v>
      </c>
      <c r="G10" s="23" t="s">
        <v>16</v>
      </c>
      <c r="H10" s="6" t="s">
        <v>17</v>
      </c>
      <c r="I10" s="24" t="s">
        <v>18</v>
      </c>
      <c r="J10" s="1" t="s">
        <v>19</v>
      </c>
      <c r="K10" s="6" t="s">
        <v>20</v>
      </c>
      <c r="L10" s="22" t="s">
        <v>21</v>
      </c>
      <c r="M10" s="6" t="s">
        <v>22</v>
      </c>
    </row>
    <row r="11" spans="1:13">
      <c r="A11" s="2">
        <v>1</v>
      </c>
      <c r="B11" s="2" t="s">
        <v>23</v>
      </c>
      <c r="C11" s="25" t="s">
        <v>24</v>
      </c>
      <c r="D11" s="26"/>
      <c r="E11" s="27">
        <v>4000</v>
      </c>
      <c r="F11" s="20">
        <v>0</v>
      </c>
      <c r="G11" s="28">
        <f>D11+E11+F11</f>
        <v>4000</v>
      </c>
      <c r="H11" s="29">
        <f>4000</f>
        <v>4000</v>
      </c>
      <c r="I11" s="75" t="s">
        <v>78</v>
      </c>
      <c r="J11" s="31" t="s">
        <v>67</v>
      </c>
      <c r="K11" s="28">
        <f>G11-H11</f>
        <v>0</v>
      </c>
      <c r="L11" s="32"/>
      <c r="M11" s="18" t="s">
        <v>25</v>
      </c>
    </row>
    <row r="12" spans="1:13">
      <c r="A12" s="33">
        <v>2</v>
      </c>
      <c r="B12" s="2" t="s">
        <v>26</v>
      </c>
      <c r="C12" s="25" t="s">
        <v>27</v>
      </c>
      <c r="D12" s="28">
        <v>0</v>
      </c>
      <c r="E12" s="27">
        <v>4000</v>
      </c>
      <c r="F12" s="20">
        <v>0</v>
      </c>
      <c r="G12" s="28">
        <f t="shared" ref="G12:G29" si="0">D12+E12+F12</f>
        <v>4000</v>
      </c>
      <c r="H12" s="29">
        <f>4000</f>
        <v>4000</v>
      </c>
      <c r="I12" s="75" t="s">
        <v>73</v>
      </c>
      <c r="J12" s="31" t="s">
        <v>67</v>
      </c>
      <c r="K12" s="28">
        <f t="shared" ref="K12:K28" si="1">G12-H12</f>
        <v>0</v>
      </c>
      <c r="L12" s="32"/>
      <c r="M12" s="18" t="s">
        <v>25</v>
      </c>
    </row>
    <row r="13" spans="1:13">
      <c r="A13" s="2">
        <v>3</v>
      </c>
      <c r="B13" s="2" t="s">
        <v>28</v>
      </c>
      <c r="C13" s="25" t="s">
        <v>29</v>
      </c>
      <c r="D13" s="34">
        <v>0</v>
      </c>
      <c r="E13" s="27">
        <v>4000</v>
      </c>
      <c r="F13" s="20">
        <v>0</v>
      </c>
      <c r="G13" s="28">
        <f t="shared" si="0"/>
        <v>4000</v>
      </c>
      <c r="H13" s="35">
        <f>4000</f>
        <v>4000</v>
      </c>
      <c r="I13" s="30" t="s">
        <v>58</v>
      </c>
      <c r="J13" s="31" t="s">
        <v>67</v>
      </c>
      <c r="K13" s="28">
        <f>G13-H13</f>
        <v>0</v>
      </c>
      <c r="L13" s="32"/>
      <c r="M13" s="18" t="s">
        <v>25</v>
      </c>
    </row>
    <row r="14" spans="1:13">
      <c r="A14" s="2">
        <v>4</v>
      </c>
      <c r="B14" s="2" t="s">
        <v>77</v>
      </c>
      <c r="C14" s="25" t="s">
        <v>30</v>
      </c>
      <c r="D14" s="34"/>
      <c r="E14" s="27">
        <v>6000</v>
      </c>
      <c r="F14" s="20">
        <v>0</v>
      </c>
      <c r="G14" s="28">
        <f t="shared" si="0"/>
        <v>6000</v>
      </c>
      <c r="H14" s="29">
        <f>6000</f>
        <v>6000</v>
      </c>
      <c r="I14" s="75" t="s">
        <v>82</v>
      </c>
      <c r="J14" s="31" t="s">
        <v>67</v>
      </c>
      <c r="K14" s="28">
        <f t="shared" ref="K14:K15" si="2">G14-H14</f>
        <v>0</v>
      </c>
      <c r="L14" s="32"/>
      <c r="M14" s="18"/>
    </row>
    <row r="15" spans="1:13">
      <c r="A15" s="2">
        <v>5</v>
      </c>
      <c r="B15" s="2" t="s">
        <v>80</v>
      </c>
      <c r="C15" s="25" t="s">
        <v>75</v>
      </c>
      <c r="D15" s="34"/>
      <c r="E15" s="27">
        <v>6500</v>
      </c>
      <c r="F15" s="20">
        <v>0</v>
      </c>
      <c r="G15" s="28">
        <f t="shared" si="0"/>
        <v>6500</v>
      </c>
      <c r="H15" s="29">
        <f>6500</f>
        <v>6500</v>
      </c>
      <c r="I15" s="75" t="s">
        <v>74</v>
      </c>
      <c r="J15" s="31" t="s">
        <v>67</v>
      </c>
      <c r="K15" s="28">
        <f t="shared" si="2"/>
        <v>0</v>
      </c>
      <c r="L15" s="32"/>
      <c r="M15" s="18"/>
    </row>
    <row r="16" spans="1:13">
      <c r="A16" s="2">
        <v>6</v>
      </c>
      <c r="B16" s="2" t="s">
        <v>32</v>
      </c>
      <c r="C16" s="25" t="s">
        <v>33</v>
      </c>
      <c r="D16" s="34">
        <v>0</v>
      </c>
      <c r="E16" s="27">
        <v>6500</v>
      </c>
      <c r="F16" s="20">
        <v>0</v>
      </c>
      <c r="G16" s="28">
        <f t="shared" si="0"/>
        <v>6500</v>
      </c>
      <c r="H16" s="29">
        <f>5500+1000</f>
        <v>6500</v>
      </c>
      <c r="I16" s="75" t="s">
        <v>79</v>
      </c>
      <c r="J16" s="31" t="s">
        <v>67</v>
      </c>
      <c r="K16" s="28">
        <f t="shared" si="1"/>
        <v>0</v>
      </c>
      <c r="L16" s="32"/>
      <c r="M16" s="18" t="s">
        <v>25</v>
      </c>
    </row>
    <row r="17" spans="1:15">
      <c r="A17" s="33">
        <v>7</v>
      </c>
      <c r="B17" s="2" t="s">
        <v>31</v>
      </c>
      <c r="C17" s="25"/>
      <c r="D17" s="34"/>
      <c r="E17" s="27"/>
      <c r="F17" s="20">
        <v>0</v>
      </c>
      <c r="G17" s="28">
        <f t="shared" si="0"/>
        <v>0</v>
      </c>
      <c r="H17" s="29"/>
      <c r="I17" s="30"/>
      <c r="J17" s="31" t="s">
        <v>67</v>
      </c>
      <c r="K17" s="28">
        <f t="shared" si="1"/>
        <v>0</v>
      </c>
      <c r="L17" s="32"/>
      <c r="M17" s="18" t="s">
        <v>25</v>
      </c>
      <c r="O17" s="36"/>
    </row>
    <row r="18" spans="1:15">
      <c r="A18" s="2">
        <v>8</v>
      </c>
      <c r="B18" s="2" t="s">
        <v>34</v>
      </c>
      <c r="C18" s="25" t="s">
        <v>35</v>
      </c>
      <c r="D18" s="34">
        <v>0</v>
      </c>
      <c r="E18" s="27">
        <v>5000</v>
      </c>
      <c r="F18" s="20">
        <v>0</v>
      </c>
      <c r="G18" s="28">
        <f t="shared" si="0"/>
        <v>5000</v>
      </c>
      <c r="H18" s="29">
        <f>5000</f>
        <v>5000</v>
      </c>
      <c r="I18" s="75" t="s">
        <v>81</v>
      </c>
      <c r="J18" s="31" t="s">
        <v>67</v>
      </c>
      <c r="K18" s="28">
        <f t="shared" si="1"/>
        <v>0</v>
      </c>
      <c r="L18" s="32" t="s">
        <v>36</v>
      </c>
      <c r="M18" s="18" t="s">
        <v>25</v>
      </c>
    </row>
    <row r="19" spans="1:15">
      <c r="A19" s="33">
        <v>9</v>
      </c>
      <c r="B19" s="2" t="s">
        <v>37</v>
      </c>
      <c r="C19" s="25" t="s">
        <v>38</v>
      </c>
      <c r="D19" s="34"/>
      <c r="E19" s="27"/>
      <c r="F19" s="20">
        <v>0</v>
      </c>
      <c r="G19" s="28">
        <f t="shared" si="0"/>
        <v>0</v>
      </c>
      <c r="I19" s="37"/>
      <c r="J19" s="31" t="s">
        <v>67</v>
      </c>
      <c r="K19" s="28">
        <f t="shared" si="1"/>
        <v>0</v>
      </c>
      <c r="L19" s="32"/>
      <c r="M19" s="18"/>
    </row>
    <row r="20" spans="1:15">
      <c r="A20" s="33">
        <v>10</v>
      </c>
      <c r="B20" s="2" t="s">
        <v>39</v>
      </c>
      <c r="C20" s="25" t="s">
        <v>40</v>
      </c>
      <c r="D20" s="38">
        <v>0</v>
      </c>
      <c r="E20" s="27">
        <v>3400</v>
      </c>
      <c r="F20" s="20">
        <v>0</v>
      </c>
      <c r="G20" s="28">
        <f t="shared" si="0"/>
        <v>3400</v>
      </c>
      <c r="H20" s="29">
        <f>3400</f>
        <v>3400</v>
      </c>
      <c r="I20" s="75" t="s">
        <v>69</v>
      </c>
      <c r="J20" s="31" t="s">
        <v>67</v>
      </c>
      <c r="K20" s="28">
        <f t="shared" si="1"/>
        <v>0</v>
      </c>
      <c r="L20" s="32"/>
      <c r="M20" s="18" t="s">
        <v>25</v>
      </c>
    </row>
    <row r="21" spans="1:15">
      <c r="A21" s="33">
        <v>11</v>
      </c>
      <c r="B21" s="2" t="s">
        <v>41</v>
      </c>
      <c r="C21" s="25" t="s">
        <v>42</v>
      </c>
      <c r="D21" s="38">
        <v>0</v>
      </c>
      <c r="E21" s="27">
        <v>4500</v>
      </c>
      <c r="F21" s="20">
        <v>0</v>
      </c>
      <c r="G21" s="28">
        <f t="shared" si="0"/>
        <v>4500</v>
      </c>
      <c r="H21" s="29">
        <f>4500</f>
        <v>4500</v>
      </c>
      <c r="I21" s="75" t="s">
        <v>68</v>
      </c>
      <c r="J21" s="31" t="s">
        <v>67</v>
      </c>
      <c r="K21" s="28">
        <f t="shared" si="1"/>
        <v>0</v>
      </c>
      <c r="L21" s="32"/>
      <c r="M21" s="18" t="s">
        <v>25</v>
      </c>
    </row>
    <row r="22" spans="1:15">
      <c r="A22" s="33">
        <v>12</v>
      </c>
      <c r="B22" s="2" t="s">
        <v>43</v>
      </c>
      <c r="C22" s="25" t="s">
        <v>44</v>
      </c>
      <c r="D22" s="38">
        <v>0</v>
      </c>
      <c r="E22" s="27">
        <v>8000</v>
      </c>
      <c r="F22" s="20">
        <v>3000</v>
      </c>
      <c r="G22" s="28">
        <f t="shared" si="0"/>
        <v>11000</v>
      </c>
      <c r="H22" s="29">
        <f>8000</f>
        <v>8000</v>
      </c>
      <c r="I22" s="76" t="s">
        <v>71</v>
      </c>
      <c r="J22" s="31" t="s">
        <v>67</v>
      </c>
      <c r="K22" s="28">
        <f t="shared" si="1"/>
        <v>3000</v>
      </c>
      <c r="L22" s="32" t="s">
        <v>84</v>
      </c>
      <c r="M22" s="18" t="s">
        <v>25</v>
      </c>
    </row>
    <row r="23" spans="1:15">
      <c r="A23" s="33">
        <v>13</v>
      </c>
      <c r="B23" s="2" t="s">
        <v>45</v>
      </c>
      <c r="C23" s="25" t="s">
        <v>46</v>
      </c>
      <c r="D23" s="38">
        <v>0</v>
      </c>
      <c r="E23" s="27">
        <v>10000</v>
      </c>
      <c r="F23" s="20">
        <v>0</v>
      </c>
      <c r="G23" s="28">
        <f t="shared" si="0"/>
        <v>10000</v>
      </c>
      <c r="H23" s="29">
        <f>10000</f>
        <v>10000</v>
      </c>
      <c r="I23" s="75" t="s">
        <v>76</v>
      </c>
      <c r="J23" s="31" t="s">
        <v>67</v>
      </c>
      <c r="K23" s="28">
        <f t="shared" si="1"/>
        <v>0</v>
      </c>
      <c r="L23" s="32" t="s">
        <v>47</v>
      </c>
      <c r="M23" s="18" t="s">
        <v>25</v>
      </c>
    </row>
    <row r="24" spans="1:15">
      <c r="A24" s="33">
        <v>14</v>
      </c>
      <c r="B24" s="2" t="s">
        <v>48</v>
      </c>
      <c r="C24" s="25"/>
      <c r="D24" s="38"/>
      <c r="E24" s="27"/>
      <c r="F24" s="20">
        <v>0</v>
      </c>
      <c r="G24" s="28">
        <f t="shared" si="0"/>
        <v>0</v>
      </c>
      <c r="H24" s="29"/>
      <c r="I24" s="30"/>
      <c r="J24" s="31" t="s">
        <v>67</v>
      </c>
      <c r="K24" s="28">
        <f t="shared" si="1"/>
        <v>0</v>
      </c>
      <c r="L24" s="32"/>
      <c r="M24" s="18" t="s">
        <v>25</v>
      </c>
    </row>
    <row r="25" spans="1:15" ht="23.25">
      <c r="A25" s="33">
        <v>15</v>
      </c>
      <c r="B25" s="2" t="s">
        <v>49</v>
      </c>
      <c r="C25" s="25" t="s">
        <v>50</v>
      </c>
      <c r="D25" s="38">
        <v>0</v>
      </c>
      <c r="E25" s="27">
        <v>10000</v>
      </c>
      <c r="F25" s="20">
        <v>2000</v>
      </c>
      <c r="G25" s="28">
        <f t="shared" si="0"/>
        <v>12000</v>
      </c>
      <c r="H25" s="35">
        <f>4000+3000+2500</f>
        <v>9500</v>
      </c>
      <c r="I25" s="75" t="s">
        <v>83</v>
      </c>
      <c r="J25" s="31" t="s">
        <v>67</v>
      </c>
      <c r="K25" s="28">
        <f t="shared" si="1"/>
        <v>2500</v>
      </c>
      <c r="L25" s="40" t="s">
        <v>84</v>
      </c>
      <c r="M25" s="18" t="s">
        <v>25</v>
      </c>
    </row>
    <row r="26" spans="1:15">
      <c r="A26" s="33">
        <v>16</v>
      </c>
      <c r="B26" s="2" t="s">
        <v>31</v>
      </c>
      <c r="C26" s="25"/>
      <c r="D26" s="38"/>
      <c r="E26" s="27"/>
      <c r="F26" s="20">
        <v>0</v>
      </c>
      <c r="G26" s="28">
        <f t="shared" si="0"/>
        <v>0</v>
      </c>
      <c r="H26" s="35"/>
      <c r="I26" s="39"/>
      <c r="J26" s="31" t="s">
        <v>67</v>
      </c>
      <c r="K26" s="28">
        <f t="shared" si="1"/>
        <v>0</v>
      </c>
      <c r="L26" s="40"/>
      <c r="M26" s="41"/>
    </row>
    <row r="27" spans="1:15">
      <c r="A27" s="33">
        <v>17</v>
      </c>
      <c r="B27" s="2" t="s">
        <v>51</v>
      </c>
      <c r="C27" s="25" t="s">
        <v>52</v>
      </c>
      <c r="D27" s="38"/>
      <c r="E27" s="27">
        <v>18000</v>
      </c>
      <c r="F27" s="20">
        <v>0</v>
      </c>
      <c r="G27" s="28">
        <f t="shared" si="0"/>
        <v>18000</v>
      </c>
      <c r="H27" s="35">
        <f>18000</f>
        <v>18000</v>
      </c>
      <c r="I27" s="76" t="s">
        <v>72</v>
      </c>
      <c r="J27" s="31" t="s">
        <v>67</v>
      </c>
      <c r="K27" s="28">
        <f t="shared" si="1"/>
        <v>0</v>
      </c>
      <c r="L27" s="40" t="s">
        <v>36</v>
      </c>
      <c r="M27" s="18" t="s">
        <v>25</v>
      </c>
    </row>
    <row r="28" spans="1:15">
      <c r="A28" s="33">
        <v>18</v>
      </c>
      <c r="B28" s="2" t="s">
        <v>53</v>
      </c>
      <c r="C28" s="25" t="s">
        <v>54</v>
      </c>
      <c r="D28" s="38"/>
      <c r="E28" s="27">
        <v>9000</v>
      </c>
      <c r="F28" s="20">
        <v>0</v>
      </c>
      <c r="G28" s="28">
        <f t="shared" si="0"/>
        <v>9000</v>
      </c>
      <c r="H28" s="35">
        <f>9000</f>
        <v>9000</v>
      </c>
      <c r="I28" s="76" t="s">
        <v>70</v>
      </c>
      <c r="J28" s="31" t="s">
        <v>67</v>
      </c>
      <c r="K28" s="28">
        <f t="shared" si="1"/>
        <v>0</v>
      </c>
      <c r="L28" s="40"/>
      <c r="M28" s="18" t="s">
        <v>25</v>
      </c>
    </row>
    <row r="29" spans="1:15">
      <c r="A29" s="33">
        <v>19</v>
      </c>
      <c r="B29" s="2" t="s">
        <v>31</v>
      </c>
      <c r="C29" s="25"/>
      <c r="D29" s="38"/>
      <c r="E29" s="27"/>
      <c r="F29" s="20"/>
      <c r="G29" s="28">
        <f t="shared" si="0"/>
        <v>0</v>
      </c>
      <c r="H29" s="35"/>
      <c r="I29" s="39"/>
      <c r="J29" s="31" t="s">
        <v>67</v>
      </c>
      <c r="K29" s="28"/>
      <c r="L29" s="40"/>
      <c r="M29" s="41"/>
    </row>
    <row r="30" spans="1:15">
      <c r="A30" s="42" t="s">
        <v>55</v>
      </c>
      <c r="B30" s="33"/>
      <c r="C30" s="43"/>
      <c r="D30" s="34"/>
      <c r="E30" s="44">
        <f>SUM(E11:E29)</f>
        <v>98900</v>
      </c>
      <c r="F30" s="20">
        <f>SUM(F11:F29)</f>
        <v>5000</v>
      </c>
      <c r="G30" s="44">
        <f>SUM(G11:G29)</f>
        <v>103900</v>
      </c>
      <c r="H30" s="44">
        <f>SUM(H11:H29)</f>
        <v>98400</v>
      </c>
      <c r="I30" s="45"/>
      <c r="J30" s="44"/>
      <c r="K30" s="44">
        <f>SUM(K11:K29)</f>
        <v>5500</v>
      </c>
      <c r="L30" s="32"/>
      <c r="M30" s="46"/>
    </row>
    <row r="31" spans="1:15">
      <c r="A31" s="47" t="s">
        <v>56</v>
      </c>
      <c r="B31" s="2"/>
      <c r="C31" s="43"/>
      <c r="D31" s="48"/>
      <c r="E31" s="49"/>
      <c r="F31" s="50"/>
      <c r="G31" s="49"/>
      <c r="H31" s="49"/>
      <c r="I31" s="24"/>
      <c r="J31" s="1"/>
      <c r="K31" s="49"/>
      <c r="L31" s="49"/>
      <c r="M31" s="51"/>
    </row>
    <row r="32" spans="1:15">
      <c r="A32" s="2" t="s">
        <v>57</v>
      </c>
      <c r="B32" s="2"/>
      <c r="C32" s="43"/>
      <c r="D32" s="2"/>
      <c r="E32" s="52"/>
      <c r="F32" s="20"/>
      <c r="G32" s="2"/>
      <c r="H32" s="53">
        <f>10%*H30</f>
        <v>9840</v>
      </c>
      <c r="I32" s="54"/>
      <c r="J32" s="2"/>
      <c r="K32" s="2"/>
      <c r="L32" s="2"/>
      <c r="M32" s="55"/>
    </row>
    <row r="33" spans="1:13">
      <c r="A33" s="2" t="s">
        <v>58</v>
      </c>
      <c r="B33" s="2"/>
      <c r="C33" s="43"/>
      <c r="D33" s="2"/>
      <c r="E33" s="52"/>
      <c r="F33" s="20"/>
      <c r="G33" s="2"/>
      <c r="H33" s="56">
        <f>H13</f>
        <v>4000</v>
      </c>
      <c r="I33" s="54"/>
      <c r="J33" s="2"/>
      <c r="K33" s="2"/>
      <c r="L33" s="2"/>
      <c r="M33" s="55"/>
    </row>
    <row r="34" spans="1:13">
      <c r="A34" s="15" t="s">
        <v>59</v>
      </c>
      <c r="B34" s="15"/>
      <c r="C34" s="15"/>
      <c r="D34" s="15"/>
      <c r="E34" s="15"/>
      <c r="F34" s="57"/>
      <c r="G34" s="15"/>
      <c r="H34" s="58">
        <f>SUM(H32:H33)</f>
        <v>13840</v>
      </c>
      <c r="I34" s="59"/>
      <c r="J34" s="15"/>
      <c r="K34" s="15" t="s">
        <v>60</v>
      </c>
      <c r="L34" s="15"/>
      <c r="M34" s="60"/>
    </row>
    <row r="35" spans="1:13">
      <c r="A35" s="15" t="s">
        <v>61</v>
      </c>
      <c r="B35" s="15"/>
      <c r="C35" s="15"/>
      <c r="D35" s="15"/>
      <c r="E35" s="15"/>
      <c r="F35" s="57"/>
      <c r="G35" s="15"/>
      <c r="H35" s="58">
        <f>[1]DEC!$K$37</f>
        <v>0</v>
      </c>
      <c r="I35" s="59"/>
      <c r="J35" s="15"/>
      <c r="K35" s="15"/>
      <c r="L35" s="15" t="s">
        <v>60</v>
      </c>
      <c r="M35" s="60"/>
    </row>
    <row r="36" spans="1:13">
      <c r="A36" s="2"/>
      <c r="B36" s="2"/>
      <c r="C36" s="2"/>
      <c r="D36" s="2"/>
      <c r="E36" s="2"/>
      <c r="F36" s="20"/>
      <c r="G36" s="2"/>
      <c r="H36" s="53"/>
      <c r="I36" s="61" t="s">
        <v>62</v>
      </c>
      <c r="J36" s="62" t="s">
        <v>62</v>
      </c>
      <c r="K36" s="62" t="s">
        <v>63</v>
      </c>
      <c r="L36" s="62"/>
      <c r="M36" s="55"/>
    </row>
    <row r="37" spans="1:13" ht="16.5" thickBot="1">
      <c r="A37" s="1" t="s">
        <v>64</v>
      </c>
      <c r="B37" s="1"/>
      <c r="C37" s="1"/>
      <c r="D37" s="1"/>
      <c r="E37" s="1"/>
      <c r="F37" s="50"/>
      <c r="G37" s="1"/>
      <c r="H37" s="63">
        <f>H30-H34+H35</f>
        <v>84560</v>
      </c>
      <c r="I37" s="64">
        <v>70000</v>
      </c>
      <c r="J37" s="57">
        <v>14560</v>
      </c>
      <c r="K37" s="65">
        <f>H37-I37-J37</f>
        <v>0</v>
      </c>
      <c r="L37" s="57"/>
      <c r="M37" s="60"/>
    </row>
    <row r="38" spans="1:13" ht="16.5" thickTop="1">
      <c r="A38" s="2" t="s">
        <v>65</v>
      </c>
      <c r="B38" s="2"/>
      <c r="C38" s="2"/>
      <c r="D38" s="2"/>
      <c r="E38" s="2"/>
      <c r="F38" s="20"/>
      <c r="G38" s="2"/>
      <c r="H38" s="2"/>
      <c r="I38" s="54"/>
      <c r="J38" s="2"/>
      <c r="K38" s="66">
        <v>46053</v>
      </c>
      <c r="L38" s="67"/>
      <c r="M38" s="68"/>
    </row>
    <row r="40" spans="1:13">
      <c r="E40" s="69"/>
      <c r="H40" s="70"/>
    </row>
    <row r="41" spans="1:13">
      <c r="F41" s="11">
        <f>8350-7600</f>
        <v>750</v>
      </c>
      <c r="H41" s="36"/>
      <c r="I41" s="72"/>
    </row>
    <row r="42" spans="1:13">
      <c r="H42" s="11">
        <f>(H30/G30)*100</f>
        <v>94.706448508180941</v>
      </c>
    </row>
    <row r="43" spans="1:13">
      <c r="H43" s="73"/>
    </row>
    <row r="45" spans="1:13">
      <c r="J45" s="74"/>
      <c r="L45" s="11">
        <v>9891043</v>
      </c>
    </row>
    <row r="50" spans="10:10">
      <c r="J50" s="74"/>
    </row>
  </sheetData>
  <mergeCells count="1">
    <mergeCell ref="A3:K3"/>
  </mergeCells>
  <pageMargins left="0.25" right="0.25" top="0.75" bottom="0.75" header="0.3" footer="0.3"/>
  <pageSetup scale="68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9FDDE-7EAD-4B0E-B85E-C81E02BDBC3A}">
  <sheetPr>
    <pageSetUpPr fitToPage="1"/>
  </sheetPr>
  <dimension ref="A1:O50"/>
  <sheetViews>
    <sheetView topLeftCell="A8" zoomScaleNormal="100" workbookViewId="0">
      <selection activeCell="I20" sqref="I20"/>
    </sheetView>
  </sheetViews>
  <sheetFormatPr defaultColWidth="9" defaultRowHeight="15.75"/>
  <cols>
    <col min="1" max="1" width="5.85546875" style="11" customWidth="1"/>
    <col min="2" max="2" width="24.7109375" style="11" customWidth="1"/>
    <col min="3" max="3" width="12" style="11" customWidth="1"/>
    <col min="4" max="4" width="10.28515625" style="11" customWidth="1"/>
    <col min="5" max="5" width="9.5703125" style="11" customWidth="1"/>
    <col min="6" max="6" width="9" style="11" customWidth="1"/>
    <col min="7" max="7" width="10.28515625" style="11" customWidth="1"/>
    <col min="8" max="8" width="11" style="11" customWidth="1"/>
    <col min="9" max="9" width="25.5703125" style="71" customWidth="1"/>
    <col min="10" max="10" width="14.42578125" style="11" customWidth="1"/>
    <col min="11" max="11" width="13.5703125" style="11" customWidth="1"/>
    <col min="12" max="12" width="10.28515625" style="11" customWidth="1"/>
    <col min="13" max="13" width="16.140625" style="11" customWidth="1"/>
    <col min="14" max="16384" width="9" style="11"/>
  </cols>
  <sheetData>
    <row r="1" spans="1:13">
      <c r="A1" s="1"/>
      <c r="B1" s="2"/>
      <c r="C1" s="3" t="s">
        <v>0</v>
      </c>
      <c r="D1" s="4"/>
      <c r="E1" s="2"/>
      <c r="F1" s="5"/>
      <c r="G1" s="6"/>
      <c r="H1" s="6"/>
      <c r="I1" s="7"/>
      <c r="J1" s="8"/>
      <c r="K1" s="9"/>
      <c r="L1" s="9"/>
      <c r="M1" s="10"/>
    </row>
    <row r="2" spans="1:13">
      <c r="A2" s="1" t="s">
        <v>1</v>
      </c>
      <c r="B2" s="1"/>
      <c r="C2" s="1"/>
      <c r="D2" s="1"/>
      <c r="E2" s="6"/>
      <c r="F2" s="5"/>
      <c r="G2" s="6"/>
      <c r="H2" s="6"/>
      <c r="I2" s="7"/>
      <c r="J2" s="8"/>
      <c r="K2" s="9"/>
      <c r="L2" s="9"/>
      <c r="M2" s="10"/>
    </row>
    <row r="3" spans="1:13">
      <c r="A3" s="88" t="s">
        <v>86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1"/>
      <c r="M3" s="12"/>
    </row>
    <row r="4" spans="1:13">
      <c r="A4" s="1"/>
      <c r="B4" s="1"/>
      <c r="C4" s="1"/>
      <c r="D4" s="6"/>
      <c r="E4" s="6"/>
      <c r="F4" s="5"/>
      <c r="G4" s="6"/>
      <c r="H4" s="6"/>
      <c r="I4" s="7" t="s">
        <v>2</v>
      </c>
      <c r="J4" s="8"/>
      <c r="K4" s="13"/>
      <c r="L4" s="13"/>
      <c r="M4" s="14"/>
    </row>
    <row r="5" spans="1:13">
      <c r="A5" s="15" t="s">
        <v>3</v>
      </c>
      <c r="B5" s="15"/>
      <c r="C5" s="15"/>
      <c r="D5" s="13"/>
      <c r="E5" s="13"/>
      <c r="F5" s="16"/>
      <c r="G5" s="13"/>
      <c r="H5" s="13"/>
      <c r="I5" s="17" t="s">
        <v>4</v>
      </c>
      <c r="J5" s="18"/>
      <c r="K5" s="13"/>
      <c r="L5" s="13"/>
      <c r="M5" s="14"/>
    </row>
    <row r="6" spans="1:13">
      <c r="A6" s="19" t="s">
        <v>5</v>
      </c>
      <c r="B6" s="2"/>
      <c r="C6" s="15"/>
      <c r="D6" s="13"/>
      <c r="E6" s="13"/>
      <c r="F6" s="16"/>
      <c r="G6" s="13"/>
      <c r="H6" s="13"/>
      <c r="I6" s="17"/>
      <c r="J6" s="18"/>
      <c r="K6" s="13"/>
      <c r="L6" s="13"/>
      <c r="M6" s="14"/>
    </row>
    <row r="7" spans="1:13">
      <c r="A7" s="15" t="s">
        <v>6</v>
      </c>
      <c r="B7" s="15"/>
      <c r="C7" s="15"/>
      <c r="D7" s="2"/>
      <c r="E7" s="2"/>
      <c r="F7" s="20"/>
      <c r="G7" s="2"/>
      <c r="H7" s="13"/>
      <c r="I7" s="17"/>
      <c r="J7" s="18"/>
      <c r="K7" s="13"/>
      <c r="L7" s="13"/>
      <c r="M7" s="14"/>
    </row>
    <row r="8" spans="1:13">
      <c r="A8" s="15"/>
      <c r="B8" s="15"/>
      <c r="C8" s="15"/>
      <c r="D8" s="2"/>
      <c r="E8" s="2"/>
      <c r="F8" s="20"/>
      <c r="G8" s="2"/>
      <c r="H8" s="13" t="s">
        <v>7</v>
      </c>
      <c r="I8" s="17" t="s">
        <v>8</v>
      </c>
      <c r="J8" s="18"/>
      <c r="K8" s="13"/>
      <c r="L8" s="13"/>
      <c r="M8" s="14"/>
    </row>
    <row r="9" spans="1:13">
      <c r="A9" s="15"/>
      <c r="B9" s="15"/>
      <c r="C9" s="15"/>
      <c r="D9" s="2"/>
      <c r="E9" s="2"/>
      <c r="F9" s="20"/>
      <c r="G9" s="2"/>
      <c r="H9" s="13" t="s">
        <v>9</v>
      </c>
      <c r="I9" s="17"/>
      <c r="J9" s="18"/>
      <c r="K9" s="13"/>
      <c r="L9" s="13"/>
      <c r="M9" s="14"/>
    </row>
    <row r="10" spans="1:13" ht="35.25" customHeight="1">
      <c r="A10" s="1" t="s">
        <v>10</v>
      </c>
      <c r="B10" s="1" t="s">
        <v>11</v>
      </c>
      <c r="C10" s="1" t="s">
        <v>12</v>
      </c>
      <c r="D10" s="21" t="s">
        <v>13</v>
      </c>
      <c r="E10" s="22" t="s">
        <v>14</v>
      </c>
      <c r="F10" s="5" t="s">
        <v>15</v>
      </c>
      <c r="G10" s="23" t="s">
        <v>16</v>
      </c>
      <c r="H10" s="6" t="s">
        <v>17</v>
      </c>
      <c r="I10" s="24" t="s">
        <v>18</v>
      </c>
      <c r="J10" s="1" t="s">
        <v>19</v>
      </c>
      <c r="K10" s="6" t="s">
        <v>20</v>
      </c>
      <c r="L10" s="22" t="s">
        <v>21</v>
      </c>
      <c r="M10" s="6" t="s">
        <v>22</v>
      </c>
    </row>
    <row r="11" spans="1:13">
      <c r="A11" s="2">
        <v>1</v>
      </c>
      <c r="B11" s="2" t="s">
        <v>23</v>
      </c>
      <c r="C11" s="25" t="s">
        <v>24</v>
      </c>
      <c r="D11" s="26"/>
      <c r="E11" s="27">
        <v>4000</v>
      </c>
      <c r="F11" s="20">
        <f>JAN!K11</f>
        <v>0</v>
      </c>
      <c r="G11" s="28">
        <f>D11+E11+F11</f>
        <v>4000</v>
      </c>
      <c r="H11" s="29">
        <v>4000</v>
      </c>
      <c r="I11" s="30" t="s">
        <v>58</v>
      </c>
      <c r="J11" s="31" t="s">
        <v>85</v>
      </c>
      <c r="K11" s="28">
        <f>G11-H11</f>
        <v>0</v>
      </c>
      <c r="L11" s="32"/>
      <c r="M11" s="18" t="s">
        <v>25</v>
      </c>
    </row>
    <row r="12" spans="1:13">
      <c r="A12" s="33">
        <v>2</v>
      </c>
      <c r="B12" s="2" t="s">
        <v>26</v>
      </c>
      <c r="C12" s="25" t="s">
        <v>27</v>
      </c>
      <c r="D12" s="28">
        <v>0</v>
      </c>
      <c r="E12" s="27">
        <v>4000</v>
      </c>
      <c r="F12" s="20">
        <f>JAN!K12</f>
        <v>0</v>
      </c>
      <c r="G12" s="28">
        <f t="shared" ref="G12:G29" si="0">D12+E12+F12</f>
        <v>4000</v>
      </c>
      <c r="H12" s="29">
        <f>4000</f>
        <v>4000</v>
      </c>
      <c r="I12" s="75" t="s">
        <v>91</v>
      </c>
      <c r="J12" s="31" t="s">
        <v>85</v>
      </c>
      <c r="K12" s="28">
        <f t="shared" ref="K12:K28" si="1">G12-H12</f>
        <v>0</v>
      </c>
      <c r="L12" s="32"/>
      <c r="M12" s="18" t="s">
        <v>25</v>
      </c>
    </row>
    <row r="13" spans="1:13">
      <c r="A13" s="2">
        <v>3</v>
      </c>
      <c r="B13" s="2" t="s">
        <v>28</v>
      </c>
      <c r="C13" s="25" t="s">
        <v>29</v>
      </c>
      <c r="D13" s="34">
        <v>0</v>
      </c>
      <c r="E13" s="27">
        <v>4000</v>
      </c>
      <c r="F13" s="20">
        <f>JAN!K13</f>
        <v>0</v>
      </c>
      <c r="G13" s="28">
        <f t="shared" si="0"/>
        <v>4000</v>
      </c>
      <c r="H13" s="35"/>
      <c r="I13" s="30"/>
      <c r="J13" s="31" t="s">
        <v>85</v>
      </c>
      <c r="K13" s="28">
        <f>G13-H13</f>
        <v>4000</v>
      </c>
      <c r="L13" s="32" t="s">
        <v>100</v>
      </c>
      <c r="M13" s="18" t="s">
        <v>25</v>
      </c>
    </row>
    <row r="14" spans="1:13">
      <c r="A14" s="2">
        <v>4</v>
      </c>
      <c r="B14" s="2" t="s">
        <v>77</v>
      </c>
      <c r="C14" s="25" t="s">
        <v>30</v>
      </c>
      <c r="D14" s="34"/>
      <c r="E14" s="27">
        <v>6000</v>
      </c>
      <c r="F14" s="20">
        <f>JAN!K14</f>
        <v>0</v>
      </c>
      <c r="G14" s="28">
        <f t="shared" si="0"/>
        <v>6000</v>
      </c>
      <c r="H14" s="29">
        <f>6000</f>
        <v>6000</v>
      </c>
      <c r="I14" s="75" t="s">
        <v>94</v>
      </c>
      <c r="J14" s="31" t="s">
        <v>85</v>
      </c>
      <c r="K14" s="28">
        <f t="shared" ref="K14:K15" si="2">G14-H14</f>
        <v>0</v>
      </c>
      <c r="L14" s="32"/>
      <c r="M14" s="18"/>
    </row>
    <row r="15" spans="1:13">
      <c r="A15" s="2">
        <v>5</v>
      </c>
      <c r="B15" s="2" t="s">
        <v>89</v>
      </c>
      <c r="C15" s="25" t="s">
        <v>75</v>
      </c>
      <c r="D15" s="34"/>
      <c r="E15" s="27">
        <v>6500</v>
      </c>
      <c r="F15" s="20">
        <f>JAN!K15</f>
        <v>0</v>
      </c>
      <c r="G15" s="28">
        <f t="shared" si="0"/>
        <v>6500</v>
      </c>
      <c r="H15" s="29">
        <f>6500</f>
        <v>6500</v>
      </c>
      <c r="I15" s="75" t="s">
        <v>90</v>
      </c>
      <c r="J15" s="31" t="s">
        <v>85</v>
      </c>
      <c r="K15" s="28">
        <f t="shared" si="2"/>
        <v>0</v>
      </c>
      <c r="L15" s="32"/>
      <c r="M15" s="18"/>
    </row>
    <row r="16" spans="1:13">
      <c r="A16" s="2">
        <v>6</v>
      </c>
      <c r="B16" s="2" t="s">
        <v>32</v>
      </c>
      <c r="C16" s="25" t="s">
        <v>33</v>
      </c>
      <c r="D16" s="34">
        <v>0</v>
      </c>
      <c r="E16" s="27">
        <v>6500</v>
      </c>
      <c r="F16" s="20">
        <f>JAN!K16</f>
        <v>0</v>
      </c>
      <c r="G16" s="28">
        <f t="shared" si="0"/>
        <v>6500</v>
      </c>
      <c r="H16" s="29">
        <f>5900+600</f>
        <v>6500</v>
      </c>
      <c r="I16" s="75" t="s">
        <v>96</v>
      </c>
      <c r="J16" s="31" t="s">
        <v>85</v>
      </c>
      <c r="K16" s="28">
        <f t="shared" si="1"/>
        <v>0</v>
      </c>
      <c r="L16" s="32"/>
      <c r="M16" s="18" t="s">
        <v>25</v>
      </c>
    </row>
    <row r="17" spans="1:15">
      <c r="A17" s="33">
        <v>7</v>
      </c>
      <c r="B17" s="2" t="s">
        <v>31</v>
      </c>
      <c r="C17" s="25"/>
      <c r="D17" s="34"/>
      <c r="E17" s="27"/>
      <c r="F17" s="20">
        <f>JAN!K17</f>
        <v>0</v>
      </c>
      <c r="G17" s="28">
        <f t="shared" si="0"/>
        <v>0</v>
      </c>
      <c r="H17" s="29"/>
      <c r="I17" s="30"/>
      <c r="J17" s="31" t="s">
        <v>85</v>
      </c>
      <c r="K17" s="28">
        <f t="shared" si="1"/>
        <v>0</v>
      </c>
      <c r="L17" s="32"/>
      <c r="M17" s="18" t="s">
        <v>25</v>
      </c>
      <c r="O17" s="36"/>
    </row>
    <row r="18" spans="1:15">
      <c r="A18" s="2">
        <v>8</v>
      </c>
      <c r="B18" s="2" t="s">
        <v>34</v>
      </c>
      <c r="C18" s="25" t="s">
        <v>35</v>
      </c>
      <c r="D18" s="34">
        <v>0</v>
      </c>
      <c r="E18" s="27">
        <v>5000</v>
      </c>
      <c r="F18" s="20">
        <f>JAN!K18</f>
        <v>0</v>
      </c>
      <c r="G18" s="28">
        <f t="shared" si="0"/>
        <v>5000</v>
      </c>
      <c r="H18" s="29">
        <f>5000</f>
        <v>5000</v>
      </c>
      <c r="I18" s="75" t="s">
        <v>93</v>
      </c>
      <c r="J18" s="31" t="s">
        <v>85</v>
      </c>
      <c r="K18" s="28">
        <f t="shared" si="1"/>
        <v>0</v>
      </c>
      <c r="L18" s="32" t="s">
        <v>36</v>
      </c>
      <c r="M18" s="18" t="s">
        <v>25</v>
      </c>
    </row>
    <row r="19" spans="1:15">
      <c r="A19" s="33">
        <v>9</v>
      </c>
      <c r="B19" s="2" t="s">
        <v>37</v>
      </c>
      <c r="C19" s="25" t="s">
        <v>38</v>
      </c>
      <c r="D19" s="34"/>
      <c r="E19" s="27"/>
      <c r="F19" s="20">
        <f>JAN!K19</f>
        <v>0</v>
      </c>
      <c r="G19" s="28">
        <f t="shared" si="0"/>
        <v>0</v>
      </c>
      <c r="I19" s="37"/>
      <c r="J19" s="31" t="s">
        <v>85</v>
      </c>
      <c r="K19" s="28">
        <f t="shared" si="1"/>
        <v>0</v>
      </c>
      <c r="L19" s="32"/>
      <c r="M19" s="18"/>
    </row>
    <row r="20" spans="1:15">
      <c r="A20" s="33">
        <v>10</v>
      </c>
      <c r="B20" s="2" t="s">
        <v>39</v>
      </c>
      <c r="C20" s="25" t="s">
        <v>40</v>
      </c>
      <c r="D20" s="38">
        <v>0</v>
      </c>
      <c r="E20" s="27">
        <v>3400</v>
      </c>
      <c r="F20" s="20">
        <f>JAN!K20</f>
        <v>0</v>
      </c>
      <c r="G20" s="28">
        <f t="shared" si="0"/>
        <v>3400</v>
      </c>
      <c r="H20" s="29">
        <f>3400</f>
        <v>3400</v>
      </c>
      <c r="I20" s="75" t="s">
        <v>88</v>
      </c>
      <c r="J20" s="31" t="s">
        <v>85</v>
      </c>
      <c r="K20" s="28">
        <f t="shared" si="1"/>
        <v>0</v>
      </c>
      <c r="L20" s="32"/>
      <c r="M20" s="18" t="s">
        <v>25</v>
      </c>
    </row>
    <row r="21" spans="1:15">
      <c r="A21" s="33">
        <v>11</v>
      </c>
      <c r="B21" s="2" t="s">
        <v>41</v>
      </c>
      <c r="C21" s="25" t="s">
        <v>42</v>
      </c>
      <c r="D21" s="38">
        <v>0</v>
      </c>
      <c r="E21" s="27">
        <v>4500</v>
      </c>
      <c r="F21" s="20">
        <f>JAN!K21</f>
        <v>0</v>
      </c>
      <c r="G21" s="28">
        <f t="shared" si="0"/>
        <v>4500</v>
      </c>
      <c r="H21" s="29">
        <f>4500</f>
        <v>4500</v>
      </c>
      <c r="I21" s="75" t="s">
        <v>87</v>
      </c>
      <c r="J21" s="31" t="s">
        <v>85</v>
      </c>
      <c r="K21" s="28">
        <f t="shared" si="1"/>
        <v>0</v>
      </c>
      <c r="L21" s="32"/>
      <c r="M21" s="18" t="s">
        <v>25</v>
      </c>
    </row>
    <row r="22" spans="1:15">
      <c r="A22" s="33">
        <v>12</v>
      </c>
      <c r="B22" s="2" t="s">
        <v>43</v>
      </c>
      <c r="C22" s="25" t="s">
        <v>44</v>
      </c>
      <c r="D22" s="38">
        <v>0</v>
      </c>
      <c r="E22" s="27">
        <v>8000</v>
      </c>
      <c r="F22" s="20">
        <f>JAN!K22</f>
        <v>3000</v>
      </c>
      <c r="G22" s="28">
        <f t="shared" si="0"/>
        <v>11000</v>
      </c>
      <c r="H22" s="29">
        <f>8000</f>
        <v>8000</v>
      </c>
      <c r="I22" s="39">
        <v>5793</v>
      </c>
      <c r="J22" s="31" t="s">
        <v>85</v>
      </c>
      <c r="K22" s="28">
        <f t="shared" si="1"/>
        <v>3000</v>
      </c>
      <c r="L22" s="32"/>
      <c r="M22" s="18" t="s">
        <v>25</v>
      </c>
    </row>
    <row r="23" spans="1:15">
      <c r="A23" s="33">
        <v>13</v>
      </c>
      <c r="B23" s="2" t="s">
        <v>45</v>
      </c>
      <c r="C23" s="25" t="s">
        <v>46</v>
      </c>
      <c r="D23" s="38">
        <v>0</v>
      </c>
      <c r="E23" s="27">
        <v>10000</v>
      </c>
      <c r="F23" s="20">
        <f>JAN!K23</f>
        <v>0</v>
      </c>
      <c r="G23" s="28">
        <f t="shared" si="0"/>
        <v>10000</v>
      </c>
      <c r="H23" s="29">
        <f>10000</f>
        <v>10000</v>
      </c>
      <c r="I23" s="75" t="s">
        <v>95</v>
      </c>
      <c r="J23" s="31" t="s">
        <v>85</v>
      </c>
      <c r="K23" s="28">
        <f t="shared" si="1"/>
        <v>0</v>
      </c>
      <c r="L23" s="32" t="s">
        <v>47</v>
      </c>
      <c r="M23" s="18" t="s">
        <v>25</v>
      </c>
    </row>
    <row r="24" spans="1:15">
      <c r="A24" s="33">
        <v>14</v>
      </c>
      <c r="B24" s="2" t="s">
        <v>48</v>
      </c>
      <c r="C24" s="25"/>
      <c r="D24" s="38"/>
      <c r="E24" s="27"/>
      <c r="F24" s="20">
        <f>JAN!K24</f>
        <v>0</v>
      </c>
      <c r="G24" s="28">
        <f t="shared" si="0"/>
        <v>0</v>
      </c>
      <c r="H24" s="29"/>
      <c r="I24" s="30"/>
      <c r="J24" s="31" t="s">
        <v>85</v>
      </c>
      <c r="K24" s="28">
        <f t="shared" si="1"/>
        <v>0</v>
      </c>
      <c r="L24" s="32"/>
      <c r="M24" s="18" t="s">
        <v>25</v>
      </c>
    </row>
    <row r="25" spans="1:15" ht="23.25">
      <c r="A25" s="33">
        <v>15</v>
      </c>
      <c r="B25" s="2" t="s">
        <v>49</v>
      </c>
      <c r="C25" s="25" t="s">
        <v>50</v>
      </c>
      <c r="D25" s="38">
        <v>0</v>
      </c>
      <c r="E25" s="27">
        <v>10000</v>
      </c>
      <c r="F25" s="20">
        <f>JAN!K25</f>
        <v>2500</v>
      </c>
      <c r="G25" s="28">
        <f t="shared" si="0"/>
        <v>12500</v>
      </c>
      <c r="H25" s="35">
        <f>1500+5000+3000</f>
        <v>9500</v>
      </c>
      <c r="I25" s="75" t="s">
        <v>98</v>
      </c>
      <c r="J25" s="31" t="s">
        <v>85</v>
      </c>
      <c r="K25" s="28">
        <f t="shared" si="1"/>
        <v>3000</v>
      </c>
      <c r="L25" s="40"/>
      <c r="M25" s="18" t="s">
        <v>25</v>
      </c>
    </row>
    <row r="26" spans="1:15">
      <c r="A26" s="33">
        <v>16</v>
      </c>
      <c r="B26" s="2" t="s">
        <v>31</v>
      </c>
      <c r="C26" s="25"/>
      <c r="D26" s="38"/>
      <c r="E26" s="27"/>
      <c r="F26" s="20">
        <f>JAN!K26</f>
        <v>0</v>
      </c>
      <c r="G26" s="28">
        <f t="shared" si="0"/>
        <v>0</v>
      </c>
      <c r="H26" s="35"/>
      <c r="I26" s="39"/>
      <c r="J26" s="31" t="s">
        <v>85</v>
      </c>
      <c r="K26" s="28">
        <f t="shared" si="1"/>
        <v>0</v>
      </c>
      <c r="L26" s="40"/>
      <c r="M26" s="41"/>
    </row>
    <row r="27" spans="1:15">
      <c r="A27" s="33">
        <v>17</v>
      </c>
      <c r="B27" s="2" t="s">
        <v>51</v>
      </c>
      <c r="C27" s="25" t="s">
        <v>52</v>
      </c>
      <c r="D27" s="38"/>
      <c r="E27" s="27">
        <v>18000</v>
      </c>
      <c r="F27" s="20">
        <f>JAN!K27</f>
        <v>0</v>
      </c>
      <c r="G27" s="28">
        <f t="shared" si="0"/>
        <v>18000</v>
      </c>
      <c r="H27" s="35">
        <f>18000</f>
        <v>18000</v>
      </c>
      <c r="I27" s="76" t="s">
        <v>92</v>
      </c>
      <c r="J27" s="31" t="s">
        <v>85</v>
      </c>
      <c r="K27" s="28">
        <f t="shared" si="1"/>
        <v>0</v>
      </c>
      <c r="L27" s="40" t="s">
        <v>36</v>
      </c>
      <c r="M27" s="18" t="s">
        <v>25</v>
      </c>
    </row>
    <row r="28" spans="1:15">
      <c r="A28" s="33">
        <v>18</v>
      </c>
      <c r="B28" s="2" t="s">
        <v>99</v>
      </c>
      <c r="C28" s="25"/>
      <c r="D28" s="38"/>
      <c r="E28" s="27">
        <v>9000</v>
      </c>
      <c r="F28" s="20">
        <f>JAN!K28</f>
        <v>0</v>
      </c>
      <c r="G28" s="28">
        <f t="shared" si="0"/>
        <v>9000</v>
      </c>
      <c r="H28" s="35">
        <f>9000</f>
        <v>9000</v>
      </c>
      <c r="I28" s="76" t="s">
        <v>97</v>
      </c>
      <c r="J28" s="31" t="s">
        <v>85</v>
      </c>
      <c r="K28" s="28">
        <f t="shared" si="1"/>
        <v>0</v>
      </c>
      <c r="L28" s="40"/>
      <c r="M28" s="18" t="s">
        <v>25</v>
      </c>
    </row>
    <row r="29" spans="1:15">
      <c r="A29" s="33">
        <v>19</v>
      </c>
      <c r="B29" s="2" t="s">
        <v>31</v>
      </c>
      <c r="C29" s="25"/>
      <c r="D29" s="38"/>
      <c r="E29" s="27"/>
      <c r="F29" s="20">
        <f>JAN!K29</f>
        <v>0</v>
      </c>
      <c r="G29" s="28">
        <f t="shared" si="0"/>
        <v>0</v>
      </c>
      <c r="H29" s="35"/>
      <c r="I29" s="39"/>
      <c r="J29" s="31" t="s">
        <v>85</v>
      </c>
      <c r="K29" s="28"/>
      <c r="L29" s="40"/>
      <c r="M29" s="41"/>
    </row>
    <row r="30" spans="1:15">
      <c r="A30" s="42" t="s">
        <v>55</v>
      </c>
      <c r="B30" s="33"/>
      <c r="C30" s="43"/>
      <c r="D30" s="34"/>
      <c r="E30" s="44">
        <f>SUM(E11:E29)</f>
        <v>98900</v>
      </c>
      <c r="F30" s="20">
        <f>SUM(F11:F29)</f>
        <v>5500</v>
      </c>
      <c r="G30" s="44">
        <f>SUM(G11:G29)</f>
        <v>104400</v>
      </c>
      <c r="H30" s="44">
        <f>SUM(H11:H29)</f>
        <v>94400</v>
      </c>
      <c r="I30" s="45"/>
      <c r="J30" s="44"/>
      <c r="K30" s="44">
        <f>SUM(K11:K29)</f>
        <v>10000</v>
      </c>
      <c r="L30" s="32"/>
      <c r="M30" s="46"/>
    </row>
    <row r="31" spans="1:15">
      <c r="A31" s="47" t="s">
        <v>56</v>
      </c>
      <c r="B31" s="2"/>
      <c r="C31" s="43"/>
      <c r="D31" s="48"/>
      <c r="E31" s="49"/>
      <c r="F31" s="50"/>
      <c r="G31" s="49"/>
      <c r="H31" s="49"/>
      <c r="I31" s="24"/>
      <c r="J31" s="1"/>
      <c r="K31" s="49"/>
      <c r="L31" s="49"/>
      <c r="M31" s="51"/>
    </row>
    <row r="32" spans="1:15">
      <c r="A32" s="2" t="s">
        <v>57</v>
      </c>
      <c r="B32" s="2"/>
      <c r="C32" s="43"/>
      <c r="D32" s="2"/>
      <c r="E32" s="52"/>
      <c r="F32" s="20"/>
      <c r="G32" s="2"/>
      <c r="H32" s="53">
        <f>10%*H30</f>
        <v>9440</v>
      </c>
      <c r="I32" s="54"/>
      <c r="J32" s="2"/>
      <c r="K32" s="2"/>
      <c r="L32" s="2"/>
      <c r="M32" s="55"/>
    </row>
    <row r="33" spans="1:13">
      <c r="A33" s="2" t="s">
        <v>58</v>
      </c>
      <c r="B33" s="2"/>
      <c r="C33" s="43"/>
      <c r="D33" s="2"/>
      <c r="E33" s="52"/>
      <c r="F33" s="20"/>
      <c r="G33" s="2"/>
      <c r="H33" s="77">
        <f>H11</f>
        <v>4000</v>
      </c>
      <c r="I33" s="54"/>
      <c r="J33" s="2"/>
      <c r="K33" s="2"/>
      <c r="L33" s="2"/>
      <c r="M33" s="55"/>
    </row>
    <row r="34" spans="1:13">
      <c r="A34" s="15" t="s">
        <v>59</v>
      </c>
      <c r="B34" s="15"/>
      <c r="C34" s="15"/>
      <c r="D34" s="15"/>
      <c r="E34" s="15"/>
      <c r="F34" s="57"/>
      <c r="G34" s="15"/>
      <c r="H34" s="58">
        <f>SUM(H32:H33)</f>
        <v>13440</v>
      </c>
      <c r="I34" s="59"/>
      <c r="J34" s="15"/>
      <c r="K34" s="15" t="s">
        <v>60</v>
      </c>
      <c r="L34" s="15"/>
      <c r="M34" s="60"/>
    </row>
    <row r="35" spans="1:13">
      <c r="A35" s="15" t="s">
        <v>61</v>
      </c>
      <c r="B35" s="15"/>
      <c r="C35" s="15"/>
      <c r="D35" s="15"/>
      <c r="E35" s="15"/>
      <c r="F35" s="57"/>
      <c r="G35" s="15"/>
      <c r="H35" s="58">
        <f>JAN!K37</f>
        <v>0</v>
      </c>
      <c r="I35" s="59"/>
      <c r="J35" s="15"/>
      <c r="K35" s="15"/>
      <c r="L35" s="15" t="s">
        <v>60</v>
      </c>
      <c r="M35" s="60"/>
    </row>
    <row r="36" spans="1:13">
      <c r="A36" s="2"/>
      <c r="B36" s="2"/>
      <c r="C36" s="2"/>
      <c r="D36" s="2"/>
      <c r="E36" s="2"/>
      <c r="F36" s="20"/>
      <c r="G36" s="2"/>
      <c r="H36" s="53"/>
      <c r="I36" s="61" t="s">
        <v>62</v>
      </c>
      <c r="J36" s="62" t="s">
        <v>62</v>
      </c>
      <c r="K36" s="62" t="s">
        <v>63</v>
      </c>
      <c r="L36" s="62"/>
      <c r="M36" s="55"/>
    </row>
    <row r="37" spans="1:13" ht="16.5" thickBot="1">
      <c r="A37" s="1" t="s">
        <v>64</v>
      </c>
      <c r="B37" s="1"/>
      <c r="C37" s="1"/>
      <c r="D37" s="1"/>
      <c r="E37" s="1"/>
      <c r="F37" s="50"/>
      <c r="G37" s="1"/>
      <c r="H37" s="63">
        <f>H30-H34+H35</f>
        <v>80960</v>
      </c>
      <c r="I37" s="64">
        <v>70000</v>
      </c>
      <c r="J37" s="57">
        <v>10960</v>
      </c>
      <c r="K37" s="65">
        <f>H37-I37-J37</f>
        <v>0</v>
      </c>
      <c r="L37" s="57"/>
      <c r="M37" s="60"/>
    </row>
    <row r="38" spans="1:13" ht="16.5" thickTop="1">
      <c r="A38" s="2" t="s">
        <v>65</v>
      </c>
      <c r="B38" s="2"/>
      <c r="C38" s="2"/>
      <c r="D38" s="2"/>
      <c r="E38" s="2"/>
      <c r="F38" s="20"/>
      <c r="G38" s="2"/>
      <c r="H38" s="2"/>
      <c r="I38" s="54"/>
      <c r="J38" s="2"/>
      <c r="K38" s="66">
        <v>46081</v>
      </c>
      <c r="L38" s="67"/>
      <c r="M38" s="68"/>
    </row>
    <row r="40" spans="1:13">
      <c r="E40" s="69"/>
      <c r="H40" s="70"/>
    </row>
    <row r="41" spans="1:13">
      <c r="F41" s="11">
        <f>8350-7600</f>
        <v>750</v>
      </c>
      <c r="H41" s="36"/>
      <c r="I41" s="72"/>
    </row>
    <row r="42" spans="1:13">
      <c r="H42" s="11">
        <f>(H30/G30)*100</f>
        <v>90.421455938697321</v>
      </c>
    </row>
    <row r="43" spans="1:13">
      <c r="H43" s="73"/>
    </row>
    <row r="45" spans="1:13">
      <c r="J45" s="74"/>
      <c r="L45" s="11">
        <v>9891043</v>
      </c>
    </row>
    <row r="50" spans="10:10">
      <c r="J50" s="74"/>
    </row>
  </sheetData>
  <mergeCells count="1">
    <mergeCell ref="A3:K3"/>
  </mergeCells>
  <pageMargins left="0.25" right="0.25" top="0.75" bottom="0.75" header="0.3" footer="0.3"/>
  <pageSetup scale="69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11160-8409-4166-8205-32B1FC9910B1}">
  <sheetPr>
    <pageSetUpPr fitToPage="1"/>
  </sheetPr>
  <dimension ref="A1:O50"/>
  <sheetViews>
    <sheetView topLeftCell="A10" zoomScaleNormal="100" workbookViewId="0">
      <selection activeCell="E12" sqref="E12"/>
    </sheetView>
  </sheetViews>
  <sheetFormatPr defaultColWidth="9" defaultRowHeight="15.75"/>
  <cols>
    <col min="1" max="1" width="5.85546875" style="11" customWidth="1"/>
    <col min="2" max="2" width="24.7109375" style="11" customWidth="1"/>
    <col min="3" max="3" width="12" style="11" customWidth="1"/>
    <col min="4" max="4" width="10.28515625" style="11" customWidth="1"/>
    <col min="5" max="5" width="9.5703125" style="11" customWidth="1"/>
    <col min="6" max="6" width="9" style="11" customWidth="1"/>
    <col min="7" max="7" width="10.28515625" style="11" customWidth="1"/>
    <col min="8" max="8" width="11" style="11" customWidth="1"/>
    <col min="9" max="9" width="25.5703125" style="71" customWidth="1"/>
    <col min="10" max="10" width="14.42578125" style="11" customWidth="1"/>
    <col min="11" max="11" width="13.5703125" style="11" customWidth="1"/>
    <col min="12" max="12" width="10.28515625" style="11" customWidth="1"/>
    <col min="13" max="13" width="16.140625" style="11" customWidth="1"/>
    <col min="14" max="16384" width="9" style="11"/>
  </cols>
  <sheetData>
    <row r="1" spans="1:13">
      <c r="A1" s="1"/>
      <c r="B1" s="2"/>
      <c r="C1" s="3" t="s">
        <v>0</v>
      </c>
      <c r="D1" s="4"/>
      <c r="E1" s="2"/>
      <c r="F1" s="5"/>
      <c r="G1" s="6"/>
      <c r="H1" s="6"/>
      <c r="I1" s="7"/>
      <c r="J1" s="8"/>
      <c r="K1" s="9"/>
      <c r="L1" s="9"/>
      <c r="M1" s="10"/>
    </row>
    <row r="2" spans="1:13">
      <c r="A2" s="1" t="s">
        <v>1</v>
      </c>
      <c r="B2" s="1"/>
      <c r="C2" s="1"/>
      <c r="D2" s="1"/>
      <c r="E2" s="6"/>
      <c r="F2" s="5"/>
      <c r="G2" s="6"/>
      <c r="H2" s="6"/>
      <c r="I2" s="7"/>
      <c r="J2" s="8"/>
      <c r="K2" s="9"/>
      <c r="L2" s="9"/>
      <c r="M2" s="10"/>
    </row>
    <row r="3" spans="1:13">
      <c r="A3" s="88" t="s">
        <v>102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1"/>
      <c r="M3" s="12"/>
    </row>
    <row r="4" spans="1:13">
      <c r="A4" s="1"/>
      <c r="B4" s="1"/>
      <c r="C4" s="1"/>
      <c r="D4" s="6"/>
      <c r="E4" s="6"/>
      <c r="F4" s="5"/>
      <c r="G4" s="6"/>
      <c r="H4" s="6"/>
      <c r="I4" s="7" t="s">
        <v>2</v>
      </c>
      <c r="J4" s="8"/>
      <c r="K4" s="13"/>
      <c r="L4" s="13"/>
      <c r="M4" s="14"/>
    </row>
    <row r="5" spans="1:13">
      <c r="A5" s="15" t="s">
        <v>3</v>
      </c>
      <c r="B5" s="15"/>
      <c r="C5" s="15"/>
      <c r="D5" s="13"/>
      <c r="E5" s="13"/>
      <c r="F5" s="16"/>
      <c r="G5" s="13"/>
      <c r="H5" s="13"/>
      <c r="I5" s="17" t="s">
        <v>4</v>
      </c>
      <c r="J5" s="18"/>
      <c r="K5" s="13"/>
      <c r="L5" s="13"/>
      <c r="M5" s="14"/>
    </row>
    <row r="6" spans="1:13">
      <c r="A6" s="19" t="s">
        <v>5</v>
      </c>
      <c r="B6" s="2"/>
      <c r="C6" s="15"/>
      <c r="D6" s="13"/>
      <c r="E6" s="13"/>
      <c r="F6" s="16"/>
      <c r="G6" s="13"/>
      <c r="H6" s="13"/>
      <c r="I6" s="17"/>
      <c r="J6" s="18"/>
      <c r="K6" s="13"/>
      <c r="L6" s="13"/>
      <c r="M6" s="14"/>
    </row>
    <row r="7" spans="1:13">
      <c r="A7" s="15" t="s">
        <v>6</v>
      </c>
      <c r="B7" s="15"/>
      <c r="C7" s="15"/>
      <c r="D7" s="2"/>
      <c r="E7" s="2"/>
      <c r="F7" s="20"/>
      <c r="G7" s="2"/>
      <c r="H7" s="13"/>
      <c r="I7" s="17"/>
      <c r="J7" s="18"/>
      <c r="K7" s="13"/>
      <c r="L7" s="13"/>
      <c r="M7" s="14"/>
    </row>
    <row r="8" spans="1:13">
      <c r="A8" s="15"/>
      <c r="B8" s="15"/>
      <c r="C8" s="15"/>
      <c r="D8" s="2"/>
      <c r="E8" s="2"/>
      <c r="F8" s="20"/>
      <c r="G8" s="2"/>
      <c r="H8" s="13" t="s">
        <v>7</v>
      </c>
      <c r="I8" s="17" t="s">
        <v>8</v>
      </c>
      <c r="J8" s="18"/>
      <c r="K8" s="13"/>
      <c r="L8" s="13"/>
      <c r="M8" s="14"/>
    </row>
    <row r="9" spans="1:13">
      <c r="A9" s="15"/>
      <c r="B9" s="15"/>
      <c r="C9" s="15"/>
      <c r="D9" s="2"/>
      <c r="E9" s="2"/>
      <c r="F9" s="20"/>
      <c r="G9" s="2"/>
      <c r="H9" s="13" t="s">
        <v>9</v>
      </c>
      <c r="I9" s="17"/>
      <c r="J9" s="18"/>
      <c r="K9" s="13"/>
      <c r="L9" s="13"/>
      <c r="M9" s="14"/>
    </row>
    <row r="10" spans="1:13" ht="35.25" customHeight="1">
      <c r="A10" s="1" t="s">
        <v>10</v>
      </c>
      <c r="B10" s="1" t="s">
        <v>11</v>
      </c>
      <c r="C10" s="1" t="s">
        <v>12</v>
      </c>
      <c r="D10" s="21" t="s">
        <v>13</v>
      </c>
      <c r="E10" s="22" t="s">
        <v>14</v>
      </c>
      <c r="F10" s="5" t="s">
        <v>15</v>
      </c>
      <c r="G10" s="23" t="s">
        <v>16</v>
      </c>
      <c r="H10" s="6" t="s">
        <v>17</v>
      </c>
      <c r="I10" s="24" t="s">
        <v>18</v>
      </c>
      <c r="J10" s="1" t="s">
        <v>19</v>
      </c>
      <c r="K10" s="6" t="s">
        <v>20</v>
      </c>
      <c r="L10" s="22" t="s">
        <v>21</v>
      </c>
      <c r="M10" s="6" t="s">
        <v>22</v>
      </c>
    </row>
    <row r="11" spans="1:13">
      <c r="A11" s="2">
        <v>1</v>
      </c>
      <c r="B11" s="2" t="s">
        <v>23</v>
      </c>
      <c r="C11" s="25" t="s">
        <v>24</v>
      </c>
      <c r="D11" s="26"/>
      <c r="E11" s="27">
        <v>5000</v>
      </c>
      <c r="F11" s="20">
        <f>FEB!K11</f>
        <v>0</v>
      </c>
      <c r="G11" s="28">
        <f>D11+E11+F11</f>
        <v>5000</v>
      </c>
      <c r="H11" s="29">
        <f>10000</f>
        <v>10000</v>
      </c>
      <c r="I11" s="75" t="s">
        <v>116</v>
      </c>
      <c r="J11" s="31" t="s">
        <v>101</v>
      </c>
      <c r="K11" s="28">
        <f>G11-H11</f>
        <v>-5000</v>
      </c>
      <c r="L11" s="32"/>
      <c r="M11" s="18" t="s">
        <v>25</v>
      </c>
    </row>
    <row r="12" spans="1:13">
      <c r="A12" s="33">
        <v>2</v>
      </c>
      <c r="B12" s="2" t="s">
        <v>26</v>
      </c>
      <c r="C12" s="25" t="s">
        <v>27</v>
      </c>
      <c r="D12" s="28">
        <v>0</v>
      </c>
      <c r="E12" s="27">
        <v>4000</v>
      </c>
      <c r="F12" s="20">
        <f>FEB!K12</f>
        <v>0</v>
      </c>
      <c r="G12" s="28">
        <f t="shared" ref="G12:G29" si="0">D12+E12+F12</f>
        <v>4000</v>
      </c>
      <c r="H12" s="29">
        <f>4000</f>
        <v>4000</v>
      </c>
      <c r="I12" s="75" t="s">
        <v>103</v>
      </c>
      <c r="J12" s="31" t="s">
        <v>101</v>
      </c>
      <c r="K12" s="28">
        <f t="shared" ref="K12:K28" si="1">G12-H12</f>
        <v>0</v>
      </c>
      <c r="L12" s="32"/>
      <c r="M12" s="18" t="s">
        <v>25</v>
      </c>
    </row>
    <row r="13" spans="1:13">
      <c r="A13" s="2">
        <v>3</v>
      </c>
      <c r="B13" s="2" t="s">
        <v>112</v>
      </c>
      <c r="C13" s="25"/>
      <c r="D13" s="34">
        <v>0</v>
      </c>
      <c r="E13" s="27">
        <v>4000</v>
      </c>
      <c r="F13" s="20"/>
      <c r="G13" s="28">
        <f t="shared" si="0"/>
        <v>4000</v>
      </c>
      <c r="H13" s="35">
        <f>4000</f>
        <v>4000</v>
      </c>
      <c r="I13" s="30" t="s">
        <v>58</v>
      </c>
      <c r="J13" s="31" t="s">
        <v>101</v>
      </c>
      <c r="K13" s="28">
        <f>G13-H13</f>
        <v>0</v>
      </c>
      <c r="L13" s="32"/>
      <c r="M13" s="18" t="s">
        <v>25</v>
      </c>
    </row>
    <row r="14" spans="1:13">
      <c r="A14" s="2">
        <v>4</v>
      </c>
      <c r="B14" s="2" t="s">
        <v>77</v>
      </c>
      <c r="C14" s="25" t="s">
        <v>30</v>
      </c>
      <c r="D14" s="34"/>
      <c r="E14" s="27">
        <v>6000</v>
      </c>
      <c r="F14" s="20">
        <f>FEB!K14</f>
        <v>0</v>
      </c>
      <c r="G14" s="28">
        <f t="shared" si="0"/>
        <v>6000</v>
      </c>
      <c r="H14" s="29">
        <f>6000</f>
        <v>6000</v>
      </c>
      <c r="I14" s="75" t="s">
        <v>107</v>
      </c>
      <c r="J14" s="31" t="s">
        <v>101</v>
      </c>
      <c r="K14" s="28">
        <f t="shared" ref="K14:K15" si="2">G14-H14</f>
        <v>0</v>
      </c>
      <c r="L14" s="32"/>
      <c r="M14" s="18"/>
    </row>
    <row r="15" spans="1:13">
      <c r="A15" s="2">
        <v>5</v>
      </c>
      <c r="B15" s="2" t="s">
        <v>89</v>
      </c>
      <c r="C15" s="25" t="s">
        <v>75</v>
      </c>
      <c r="D15" s="34"/>
      <c r="E15" s="27">
        <v>6500</v>
      </c>
      <c r="F15" s="20">
        <f>FEB!K15</f>
        <v>0</v>
      </c>
      <c r="G15" s="28">
        <f t="shared" si="0"/>
        <v>6500</v>
      </c>
      <c r="H15" s="29">
        <f>6500</f>
        <v>6500</v>
      </c>
      <c r="I15" s="75" t="s">
        <v>106</v>
      </c>
      <c r="J15" s="31" t="s">
        <v>101</v>
      </c>
      <c r="K15" s="28">
        <f t="shared" si="2"/>
        <v>0</v>
      </c>
      <c r="L15" s="32"/>
      <c r="M15" s="18"/>
    </row>
    <row r="16" spans="1:13" ht="23.25">
      <c r="A16" s="2">
        <v>6</v>
      </c>
      <c r="B16" s="2" t="s">
        <v>32</v>
      </c>
      <c r="C16" s="25" t="s">
        <v>33</v>
      </c>
      <c r="D16" s="34">
        <v>0</v>
      </c>
      <c r="E16" s="27">
        <v>6500</v>
      </c>
      <c r="F16" s="20">
        <f>FEB!K16</f>
        <v>0</v>
      </c>
      <c r="G16" s="28">
        <f t="shared" si="0"/>
        <v>6500</v>
      </c>
      <c r="H16" s="29">
        <f>4600+700+1000</f>
        <v>6300</v>
      </c>
      <c r="I16" s="75" t="s">
        <v>127</v>
      </c>
      <c r="J16" s="31" t="s">
        <v>101</v>
      </c>
      <c r="K16" s="28">
        <f t="shared" si="1"/>
        <v>200</v>
      </c>
      <c r="L16" s="32"/>
      <c r="M16" s="18" t="s">
        <v>25</v>
      </c>
    </row>
    <row r="17" spans="1:15">
      <c r="A17" s="33">
        <v>7</v>
      </c>
      <c r="B17" s="2" t="s">
        <v>110</v>
      </c>
      <c r="C17" s="25"/>
      <c r="D17" s="34"/>
      <c r="E17" s="27">
        <v>5000</v>
      </c>
      <c r="F17" s="20">
        <f>FEB!K17</f>
        <v>0</v>
      </c>
      <c r="G17" s="28">
        <f t="shared" si="0"/>
        <v>5000</v>
      </c>
      <c r="H17" s="29">
        <f>5000</f>
        <v>5000</v>
      </c>
      <c r="I17" s="75" t="s">
        <v>111</v>
      </c>
      <c r="J17" s="31" t="s">
        <v>101</v>
      </c>
      <c r="K17" s="28">
        <f t="shared" si="1"/>
        <v>0</v>
      </c>
      <c r="L17" s="32"/>
      <c r="M17" s="18" t="s">
        <v>25</v>
      </c>
      <c r="O17" s="36"/>
    </row>
    <row r="18" spans="1:15">
      <c r="A18" s="2">
        <v>8</v>
      </c>
      <c r="B18" s="2" t="s">
        <v>34</v>
      </c>
      <c r="C18" s="25" t="s">
        <v>35</v>
      </c>
      <c r="D18" s="34">
        <v>0</v>
      </c>
      <c r="E18" s="27">
        <v>5000</v>
      </c>
      <c r="F18" s="20">
        <f>FEB!K18</f>
        <v>0</v>
      </c>
      <c r="G18" s="28">
        <f t="shared" si="0"/>
        <v>5000</v>
      </c>
      <c r="H18" s="29">
        <f>5000</f>
        <v>5000</v>
      </c>
      <c r="I18" s="75" t="s">
        <v>113</v>
      </c>
      <c r="J18" s="31" t="s">
        <v>101</v>
      </c>
      <c r="K18" s="28">
        <f t="shared" si="1"/>
        <v>0</v>
      </c>
      <c r="L18" s="32" t="s">
        <v>36</v>
      </c>
      <c r="M18" s="18" t="s">
        <v>25</v>
      </c>
    </row>
    <row r="19" spans="1:15">
      <c r="A19" s="33">
        <v>9</v>
      </c>
      <c r="B19" s="2" t="s">
        <v>37</v>
      </c>
      <c r="C19" s="25" t="s">
        <v>38</v>
      </c>
      <c r="D19" s="34"/>
      <c r="E19" s="27"/>
      <c r="F19" s="20">
        <f>FEB!K19</f>
        <v>0</v>
      </c>
      <c r="G19" s="28">
        <f t="shared" si="0"/>
        <v>0</v>
      </c>
      <c r="I19" s="37"/>
      <c r="J19" s="31" t="s">
        <v>101</v>
      </c>
      <c r="K19" s="28">
        <f t="shared" si="1"/>
        <v>0</v>
      </c>
      <c r="L19" s="32"/>
      <c r="M19" s="18"/>
    </row>
    <row r="20" spans="1:15">
      <c r="A20" s="33">
        <v>10</v>
      </c>
      <c r="B20" s="2" t="s">
        <v>39</v>
      </c>
      <c r="C20" s="25" t="s">
        <v>40</v>
      </c>
      <c r="D20" s="38">
        <v>0</v>
      </c>
      <c r="E20" s="27">
        <v>3400</v>
      </c>
      <c r="F20" s="20">
        <f>FEB!K20</f>
        <v>0</v>
      </c>
      <c r="G20" s="28">
        <f t="shared" si="0"/>
        <v>3400</v>
      </c>
      <c r="H20" s="29">
        <f>3400</f>
        <v>3400</v>
      </c>
      <c r="I20" s="75" t="s">
        <v>105</v>
      </c>
      <c r="J20" s="31" t="s">
        <v>101</v>
      </c>
      <c r="K20" s="28">
        <f t="shared" si="1"/>
        <v>0</v>
      </c>
      <c r="L20" s="32"/>
      <c r="M20" s="18" t="s">
        <v>25</v>
      </c>
    </row>
    <row r="21" spans="1:15">
      <c r="A21" s="33">
        <v>11</v>
      </c>
      <c r="B21" s="2" t="s">
        <v>41</v>
      </c>
      <c r="C21" s="25" t="s">
        <v>42</v>
      </c>
      <c r="D21" s="38">
        <v>0</v>
      </c>
      <c r="E21" s="27">
        <v>4500</v>
      </c>
      <c r="F21" s="20">
        <f>FEB!K21</f>
        <v>0</v>
      </c>
      <c r="G21" s="28">
        <f t="shared" si="0"/>
        <v>4500</v>
      </c>
      <c r="H21" s="29">
        <f>4500</f>
        <v>4500</v>
      </c>
      <c r="I21" s="75" t="s">
        <v>104</v>
      </c>
      <c r="J21" s="31" t="s">
        <v>101</v>
      </c>
      <c r="K21" s="28">
        <f t="shared" si="1"/>
        <v>0</v>
      </c>
      <c r="L21" s="32"/>
      <c r="M21" s="18" t="s">
        <v>25</v>
      </c>
    </row>
    <row r="22" spans="1:15">
      <c r="A22" s="33">
        <v>12</v>
      </c>
      <c r="B22" s="2" t="s">
        <v>43</v>
      </c>
      <c r="C22" s="25" t="s">
        <v>44</v>
      </c>
      <c r="D22" s="38">
        <v>0</v>
      </c>
      <c r="E22" s="27">
        <v>8000</v>
      </c>
      <c r="F22" s="20">
        <f>FEB!K22</f>
        <v>3000</v>
      </c>
      <c r="G22" s="28">
        <f t="shared" si="0"/>
        <v>11000</v>
      </c>
      <c r="H22" s="29">
        <f>8000</f>
        <v>8000</v>
      </c>
      <c r="I22" s="76" t="s">
        <v>114</v>
      </c>
      <c r="J22" s="31" t="s">
        <v>101</v>
      </c>
      <c r="K22" s="28">
        <f t="shared" si="1"/>
        <v>3000</v>
      </c>
      <c r="L22" s="32"/>
      <c r="M22" s="18" t="s">
        <v>25</v>
      </c>
    </row>
    <row r="23" spans="1:15">
      <c r="A23" s="33">
        <v>13</v>
      </c>
      <c r="B23" s="2" t="s">
        <v>45</v>
      </c>
      <c r="C23" s="25" t="s">
        <v>46</v>
      </c>
      <c r="D23" s="38">
        <v>0</v>
      </c>
      <c r="E23" s="27">
        <v>10000</v>
      </c>
      <c r="F23" s="20">
        <f>FEB!K23</f>
        <v>0</v>
      </c>
      <c r="G23" s="28">
        <f t="shared" si="0"/>
        <v>10000</v>
      </c>
      <c r="H23" s="29">
        <f>10000</f>
        <v>10000</v>
      </c>
      <c r="I23" s="75" t="s">
        <v>115</v>
      </c>
      <c r="J23" s="31" t="s">
        <v>101</v>
      </c>
      <c r="K23" s="28">
        <f t="shared" si="1"/>
        <v>0</v>
      </c>
      <c r="L23" s="32" t="s">
        <v>47</v>
      </c>
      <c r="M23" s="18" t="s">
        <v>25</v>
      </c>
    </row>
    <row r="24" spans="1:15">
      <c r="A24" s="33">
        <v>14</v>
      </c>
      <c r="B24" s="2" t="s">
        <v>48</v>
      </c>
      <c r="C24" s="25"/>
      <c r="D24" s="38"/>
      <c r="E24" s="27"/>
      <c r="F24" s="20">
        <f>FEB!K24</f>
        <v>0</v>
      </c>
      <c r="G24" s="28">
        <f t="shared" si="0"/>
        <v>0</v>
      </c>
      <c r="H24" s="29"/>
      <c r="I24" s="30"/>
      <c r="J24" s="31" t="s">
        <v>101</v>
      </c>
      <c r="K24" s="28">
        <f t="shared" si="1"/>
        <v>0</v>
      </c>
      <c r="L24" s="32"/>
      <c r="M24" s="18" t="s">
        <v>25</v>
      </c>
    </row>
    <row r="25" spans="1:15" ht="23.25">
      <c r="A25" s="33">
        <v>15</v>
      </c>
      <c r="B25" s="2" t="s">
        <v>49</v>
      </c>
      <c r="C25" s="25" t="s">
        <v>50</v>
      </c>
      <c r="D25" s="38">
        <v>0</v>
      </c>
      <c r="E25" s="27">
        <v>10000</v>
      </c>
      <c r="F25" s="20">
        <f>FEB!K25</f>
        <v>3000</v>
      </c>
      <c r="G25" s="28">
        <f t="shared" si="0"/>
        <v>13000</v>
      </c>
      <c r="H25" s="35">
        <f>2000+5000+3000</f>
        <v>10000</v>
      </c>
      <c r="I25" s="75" t="s">
        <v>128</v>
      </c>
      <c r="J25" s="31" t="s">
        <v>101</v>
      </c>
      <c r="K25" s="28">
        <f t="shared" si="1"/>
        <v>3000</v>
      </c>
      <c r="L25" s="40"/>
      <c r="M25" s="18" t="s">
        <v>25</v>
      </c>
    </row>
    <row r="26" spans="1:15">
      <c r="A26" s="33">
        <v>16</v>
      </c>
      <c r="B26" s="2" t="s">
        <v>31</v>
      </c>
      <c r="C26" s="25"/>
      <c r="D26" s="38"/>
      <c r="E26" s="27"/>
      <c r="F26" s="20">
        <f>FEB!K26</f>
        <v>0</v>
      </c>
      <c r="G26" s="28">
        <f t="shared" si="0"/>
        <v>0</v>
      </c>
      <c r="H26" s="35"/>
      <c r="I26" s="39"/>
      <c r="J26" s="31" t="s">
        <v>101</v>
      </c>
      <c r="K26" s="28">
        <f t="shared" si="1"/>
        <v>0</v>
      </c>
      <c r="L26" s="40"/>
      <c r="M26" s="41"/>
    </row>
    <row r="27" spans="1:15">
      <c r="A27" s="33">
        <v>17</v>
      </c>
      <c r="B27" s="2" t="s">
        <v>51</v>
      </c>
      <c r="C27" s="25" t="s">
        <v>52</v>
      </c>
      <c r="D27" s="38"/>
      <c r="E27" s="27">
        <v>18000</v>
      </c>
      <c r="F27" s="20">
        <f>FEB!K27</f>
        <v>0</v>
      </c>
      <c r="G27" s="28">
        <f t="shared" si="0"/>
        <v>18000</v>
      </c>
      <c r="H27" s="35">
        <f>18000</f>
        <v>18000</v>
      </c>
      <c r="I27" s="76" t="s">
        <v>109</v>
      </c>
      <c r="J27" s="31" t="s">
        <v>101</v>
      </c>
      <c r="K27" s="28">
        <f t="shared" si="1"/>
        <v>0</v>
      </c>
      <c r="L27" s="40" t="s">
        <v>36</v>
      </c>
      <c r="M27" s="18" t="s">
        <v>25</v>
      </c>
    </row>
    <row r="28" spans="1:15">
      <c r="A28" s="33">
        <v>18</v>
      </c>
      <c r="B28" s="2" t="s">
        <v>99</v>
      </c>
      <c r="C28" s="25"/>
      <c r="D28" s="38"/>
      <c r="E28" s="27">
        <v>9000</v>
      </c>
      <c r="F28" s="20">
        <f>FEB!K28</f>
        <v>0</v>
      </c>
      <c r="G28" s="28">
        <f t="shared" si="0"/>
        <v>9000</v>
      </c>
      <c r="H28" s="35">
        <f>9000</f>
        <v>9000</v>
      </c>
      <c r="I28" s="76" t="s">
        <v>108</v>
      </c>
      <c r="J28" s="31" t="s">
        <v>101</v>
      </c>
      <c r="K28" s="28">
        <f t="shared" si="1"/>
        <v>0</v>
      </c>
      <c r="L28" s="40"/>
      <c r="M28" s="18" t="s">
        <v>25</v>
      </c>
    </row>
    <row r="29" spans="1:15">
      <c r="A29" s="33">
        <v>19</v>
      </c>
      <c r="B29" s="2" t="s">
        <v>31</v>
      </c>
      <c r="C29" s="25"/>
      <c r="D29" s="38"/>
      <c r="E29" s="27"/>
      <c r="F29" s="20">
        <f>FEB!K29</f>
        <v>0</v>
      </c>
      <c r="G29" s="28">
        <f t="shared" si="0"/>
        <v>0</v>
      </c>
      <c r="H29" s="35"/>
      <c r="I29" s="39"/>
      <c r="J29" s="31" t="s">
        <v>101</v>
      </c>
      <c r="K29" s="28"/>
      <c r="L29" s="40"/>
      <c r="M29" s="41"/>
    </row>
    <row r="30" spans="1:15">
      <c r="A30" s="42" t="s">
        <v>55</v>
      </c>
      <c r="B30" s="33"/>
      <c r="C30" s="43"/>
      <c r="D30" s="34"/>
      <c r="E30" s="44">
        <f>SUM(E11:E29)</f>
        <v>104900</v>
      </c>
      <c r="F30" s="20">
        <f>SUM(F11:F29)</f>
        <v>6000</v>
      </c>
      <c r="G30" s="44">
        <f>SUM(G11:G29)</f>
        <v>110900</v>
      </c>
      <c r="H30" s="44">
        <f>SUM(H11:H29)</f>
        <v>109700</v>
      </c>
      <c r="I30" s="45"/>
      <c r="J30" s="44"/>
      <c r="K30" s="44">
        <f>SUM(K11:K29)</f>
        <v>1200</v>
      </c>
      <c r="L30" s="32"/>
      <c r="M30" s="46"/>
    </row>
    <row r="31" spans="1:15">
      <c r="A31" s="47" t="s">
        <v>56</v>
      </c>
      <c r="B31" s="2"/>
      <c r="C31" s="43"/>
      <c r="D31" s="48"/>
      <c r="E31" s="49"/>
      <c r="F31" s="50"/>
      <c r="G31" s="49"/>
      <c r="H31" s="49"/>
      <c r="I31" s="24"/>
      <c r="J31" s="1"/>
      <c r="K31" s="49"/>
      <c r="L31" s="49"/>
      <c r="M31" s="51"/>
    </row>
    <row r="32" spans="1:15">
      <c r="A32" s="2" t="s">
        <v>57</v>
      </c>
      <c r="B32" s="2"/>
      <c r="C32" s="43"/>
      <c r="D32" s="2"/>
      <c r="E32" s="52"/>
      <c r="F32" s="20"/>
      <c r="G32" s="2"/>
      <c r="H32" s="53">
        <f>10%*H30</f>
        <v>10970</v>
      </c>
      <c r="I32" s="54"/>
      <c r="J32" s="2"/>
      <c r="K32" s="2"/>
      <c r="L32" s="2"/>
      <c r="M32" s="55"/>
    </row>
    <row r="33" spans="1:13">
      <c r="A33" s="2" t="s">
        <v>58</v>
      </c>
      <c r="B33" s="2"/>
      <c r="C33" s="43"/>
      <c r="D33" s="2"/>
      <c r="E33" s="52"/>
      <c r="F33" s="20"/>
      <c r="G33" s="2"/>
      <c r="H33" s="77">
        <f>H13</f>
        <v>4000</v>
      </c>
      <c r="I33" s="54"/>
      <c r="J33" s="2"/>
      <c r="K33" s="2"/>
      <c r="L33" s="2"/>
      <c r="M33" s="55"/>
    </row>
    <row r="34" spans="1:13">
      <c r="A34" s="15" t="s">
        <v>59</v>
      </c>
      <c r="B34" s="15"/>
      <c r="C34" s="15"/>
      <c r="D34" s="15"/>
      <c r="E34" s="15"/>
      <c r="F34" s="57"/>
      <c r="G34" s="15"/>
      <c r="H34" s="58">
        <f>SUM(H32:H33)</f>
        <v>14970</v>
      </c>
      <c r="I34" s="59"/>
      <c r="J34" s="15"/>
      <c r="K34" s="15" t="s">
        <v>60</v>
      </c>
      <c r="L34" s="15"/>
      <c r="M34" s="60"/>
    </row>
    <row r="35" spans="1:13">
      <c r="A35" s="15" t="s">
        <v>61</v>
      </c>
      <c r="B35" s="15"/>
      <c r="C35" s="15"/>
      <c r="D35" s="15"/>
      <c r="E35" s="15"/>
      <c r="F35" s="57"/>
      <c r="G35" s="15"/>
      <c r="H35" s="58">
        <f>FEB!K37</f>
        <v>0</v>
      </c>
      <c r="I35" s="59"/>
      <c r="J35" s="15"/>
      <c r="K35" s="15"/>
      <c r="L35" s="15" t="s">
        <v>60</v>
      </c>
      <c r="M35" s="60"/>
    </row>
    <row r="36" spans="1:13">
      <c r="A36" s="2"/>
      <c r="B36" s="2"/>
      <c r="C36" s="2"/>
      <c r="D36" s="2"/>
      <c r="E36" s="2"/>
      <c r="F36" s="20"/>
      <c r="G36" s="2"/>
      <c r="H36" s="53"/>
      <c r="I36" s="61" t="s">
        <v>62</v>
      </c>
      <c r="J36" s="62" t="s">
        <v>62</v>
      </c>
      <c r="K36" s="62" t="s">
        <v>63</v>
      </c>
      <c r="L36" s="62"/>
      <c r="M36" s="55"/>
    </row>
    <row r="37" spans="1:13" ht="16.5" thickBot="1">
      <c r="A37" s="1" t="s">
        <v>64</v>
      </c>
      <c r="B37" s="1"/>
      <c r="C37" s="1"/>
      <c r="D37" s="1"/>
      <c r="E37" s="1"/>
      <c r="F37" s="50"/>
      <c r="G37" s="1"/>
      <c r="H37" s="63">
        <f>H30-H34+H35</f>
        <v>94730</v>
      </c>
      <c r="I37" s="64">
        <v>70000</v>
      </c>
      <c r="J37" s="57">
        <v>24730</v>
      </c>
      <c r="K37" s="65">
        <f>H37-I37-J37</f>
        <v>0</v>
      </c>
      <c r="L37" s="57"/>
      <c r="M37" s="60"/>
    </row>
    <row r="38" spans="1:13" ht="16.5" thickTop="1">
      <c r="A38" s="2" t="s">
        <v>65</v>
      </c>
      <c r="B38" s="2"/>
      <c r="C38" s="2"/>
      <c r="D38" s="2"/>
      <c r="E38" s="2"/>
      <c r="F38" s="20"/>
      <c r="G38" s="2"/>
      <c r="H38" s="2"/>
      <c r="I38" s="54"/>
      <c r="J38" s="2"/>
      <c r="K38" s="66">
        <v>46112</v>
      </c>
      <c r="L38" s="67"/>
      <c r="M38" s="68"/>
    </row>
    <row r="40" spans="1:13">
      <c r="E40" s="69"/>
      <c r="H40" s="70"/>
    </row>
    <row r="41" spans="1:13">
      <c r="F41" s="11">
        <f>8350-7600</f>
        <v>750</v>
      </c>
      <c r="H41" s="36"/>
      <c r="I41" s="72"/>
    </row>
    <row r="42" spans="1:13">
      <c r="H42" s="11">
        <f>(H30/G30)*100</f>
        <v>98.917944093778175</v>
      </c>
    </row>
    <row r="43" spans="1:13">
      <c r="H43" s="73"/>
    </row>
    <row r="45" spans="1:13">
      <c r="J45" s="74"/>
      <c r="L45" s="11">
        <v>9891043</v>
      </c>
    </row>
    <row r="50" spans="10:10">
      <c r="J50" s="74"/>
    </row>
  </sheetData>
  <mergeCells count="1">
    <mergeCell ref="A3:K3"/>
  </mergeCells>
  <pageMargins left="0.25" right="0.25" top="0.75" bottom="0.75" header="0.3" footer="0.3"/>
  <pageSetup scale="70" fitToWidth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0ED66-F11A-49B2-9B87-55C0566F73B5}">
  <sheetPr>
    <pageSetUpPr fitToPage="1"/>
  </sheetPr>
  <dimension ref="A1:O50"/>
  <sheetViews>
    <sheetView topLeftCell="A7" zoomScaleNormal="100" workbookViewId="0">
      <selection activeCell="H33" sqref="H33"/>
    </sheetView>
  </sheetViews>
  <sheetFormatPr defaultColWidth="9" defaultRowHeight="15.75"/>
  <cols>
    <col min="1" max="1" width="5.85546875" style="11" customWidth="1"/>
    <col min="2" max="2" width="24.7109375" style="11" customWidth="1"/>
    <col min="3" max="3" width="12" style="11" customWidth="1"/>
    <col min="4" max="4" width="10.28515625" style="11" customWidth="1"/>
    <col min="5" max="5" width="9.5703125" style="11" customWidth="1"/>
    <col min="6" max="6" width="9" style="11" customWidth="1"/>
    <col min="7" max="7" width="10.28515625" style="11" customWidth="1"/>
    <col min="8" max="8" width="11" style="11" customWidth="1"/>
    <col min="9" max="9" width="25.5703125" style="71" customWidth="1"/>
    <col min="10" max="10" width="14.42578125" style="11" customWidth="1"/>
    <col min="11" max="11" width="13.5703125" style="11" customWidth="1"/>
    <col min="12" max="12" width="10.28515625" style="11" customWidth="1"/>
    <col min="13" max="13" width="16.140625" style="11" customWidth="1"/>
    <col min="14" max="16384" width="9" style="11"/>
  </cols>
  <sheetData>
    <row r="1" spans="1:14">
      <c r="A1" s="1"/>
      <c r="B1" s="2"/>
      <c r="C1" s="3" t="s">
        <v>0</v>
      </c>
      <c r="D1" s="4"/>
      <c r="E1" s="2"/>
      <c r="F1" s="5"/>
      <c r="G1" s="6"/>
      <c r="H1" s="6"/>
      <c r="I1" s="7"/>
      <c r="J1" s="8"/>
      <c r="K1" s="9"/>
      <c r="L1" s="9"/>
      <c r="M1" s="10"/>
    </row>
    <row r="2" spans="1:14">
      <c r="A2" s="1" t="s">
        <v>1</v>
      </c>
      <c r="B2" s="1"/>
      <c r="C2" s="1"/>
      <c r="D2" s="1"/>
      <c r="E2" s="6"/>
      <c r="F2" s="5"/>
      <c r="G2" s="6"/>
      <c r="H2" s="6"/>
      <c r="I2" s="7"/>
      <c r="J2" s="8"/>
      <c r="K2" s="9"/>
      <c r="L2" s="9"/>
      <c r="M2" s="10"/>
    </row>
    <row r="3" spans="1:14">
      <c r="A3" s="88" t="s">
        <v>118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1"/>
      <c r="M3" s="12"/>
    </row>
    <row r="4" spans="1:14">
      <c r="A4" s="1"/>
      <c r="B4" s="1"/>
      <c r="C4" s="1"/>
      <c r="D4" s="6"/>
      <c r="E4" s="6"/>
      <c r="F4" s="5"/>
      <c r="G4" s="6"/>
      <c r="H4" s="6"/>
      <c r="I4" s="7" t="s">
        <v>2</v>
      </c>
      <c r="J4" s="8"/>
      <c r="K4" s="13"/>
      <c r="L4" s="13"/>
      <c r="M4" s="14"/>
    </row>
    <row r="5" spans="1:14">
      <c r="A5" s="15" t="s">
        <v>3</v>
      </c>
      <c r="B5" s="15"/>
      <c r="C5" s="15"/>
      <c r="D5" s="13"/>
      <c r="E5" s="13"/>
      <c r="F5" s="16"/>
      <c r="G5" s="13"/>
      <c r="H5" s="13"/>
      <c r="I5" s="17" t="s">
        <v>4</v>
      </c>
      <c r="J5" s="18"/>
      <c r="K5" s="13"/>
      <c r="L5" s="13"/>
      <c r="M5" s="14"/>
    </row>
    <row r="6" spans="1:14">
      <c r="A6" s="19" t="s">
        <v>5</v>
      </c>
      <c r="B6" s="2"/>
      <c r="C6" s="15"/>
      <c r="D6" s="13"/>
      <c r="E6" s="13"/>
      <c r="F6" s="16"/>
      <c r="G6" s="13"/>
      <c r="H6" s="13"/>
      <c r="I6" s="17"/>
      <c r="J6" s="18"/>
      <c r="K6" s="13"/>
      <c r="L6" s="13"/>
      <c r="M6" s="14"/>
    </row>
    <row r="7" spans="1:14">
      <c r="A7" s="15" t="s">
        <v>6</v>
      </c>
      <c r="B7" s="15"/>
      <c r="C7" s="15"/>
      <c r="D7" s="2"/>
      <c r="E7" s="2"/>
      <c r="F7" s="20"/>
      <c r="G7" s="2"/>
      <c r="H7" s="13"/>
      <c r="I7" s="17"/>
      <c r="J7" s="18"/>
      <c r="K7" s="13"/>
      <c r="L7" s="13"/>
      <c r="M7" s="14"/>
    </row>
    <row r="8" spans="1:14">
      <c r="A8" s="15"/>
      <c r="B8" s="15"/>
      <c r="C8" s="15"/>
      <c r="D8" s="2"/>
      <c r="E8" s="2"/>
      <c r="F8" s="20"/>
      <c r="G8" s="2"/>
      <c r="H8" s="13" t="s">
        <v>7</v>
      </c>
      <c r="I8" s="17" t="s">
        <v>8</v>
      </c>
      <c r="J8" s="18"/>
      <c r="K8" s="13"/>
      <c r="L8" s="13"/>
      <c r="M8" s="14"/>
    </row>
    <row r="9" spans="1:14">
      <c r="A9" s="15"/>
      <c r="B9" s="15"/>
      <c r="C9" s="15"/>
      <c r="D9" s="2"/>
      <c r="E9" s="2"/>
      <c r="F9" s="20"/>
      <c r="G9" s="2"/>
      <c r="H9" s="13" t="s">
        <v>9</v>
      </c>
      <c r="I9" s="17"/>
      <c r="J9" s="18"/>
      <c r="K9" s="13"/>
      <c r="L9" s="13"/>
      <c r="M9" s="14"/>
    </row>
    <row r="10" spans="1:14" ht="35.25" customHeight="1">
      <c r="A10" s="1" t="s">
        <v>10</v>
      </c>
      <c r="B10" s="1" t="s">
        <v>11</v>
      </c>
      <c r="C10" s="1" t="s">
        <v>12</v>
      </c>
      <c r="D10" s="21" t="s">
        <v>13</v>
      </c>
      <c r="E10" s="22" t="s">
        <v>14</v>
      </c>
      <c r="F10" s="5" t="s">
        <v>15</v>
      </c>
      <c r="G10" s="23" t="s">
        <v>16</v>
      </c>
      <c r="H10" s="6" t="s">
        <v>17</v>
      </c>
      <c r="I10" s="24" t="s">
        <v>18</v>
      </c>
      <c r="J10" s="1" t="s">
        <v>19</v>
      </c>
      <c r="K10" s="6" t="s">
        <v>20</v>
      </c>
      <c r="L10" s="22" t="s">
        <v>21</v>
      </c>
      <c r="M10" s="6" t="s">
        <v>22</v>
      </c>
    </row>
    <row r="11" spans="1:14">
      <c r="A11" s="2">
        <v>1</v>
      </c>
      <c r="B11" s="2" t="s">
        <v>23</v>
      </c>
      <c r="C11" s="25" t="s">
        <v>24</v>
      </c>
      <c r="D11" s="26"/>
      <c r="E11" s="27">
        <v>5000</v>
      </c>
      <c r="F11" s="20">
        <f>MAR!K11</f>
        <v>-5000</v>
      </c>
      <c r="G11" s="28">
        <f>D11+E11+F11</f>
        <v>0</v>
      </c>
      <c r="H11" s="29"/>
      <c r="I11" s="30"/>
      <c r="J11" s="31" t="s">
        <v>117</v>
      </c>
      <c r="K11" s="28">
        <f>G11-H11</f>
        <v>0</v>
      </c>
      <c r="L11" s="32"/>
      <c r="M11" s="18" t="s">
        <v>25</v>
      </c>
    </row>
    <row r="12" spans="1:14">
      <c r="A12" s="33">
        <v>2</v>
      </c>
      <c r="B12" s="2" t="s">
        <v>26</v>
      </c>
      <c r="C12" s="25" t="s">
        <v>27</v>
      </c>
      <c r="D12" s="28">
        <v>0</v>
      </c>
      <c r="E12" s="27">
        <v>4000</v>
      </c>
      <c r="F12" s="20">
        <f>MAR!K12</f>
        <v>0</v>
      </c>
      <c r="G12" s="28">
        <f t="shared" ref="G12:G29" si="0">D12+E12+F12</f>
        <v>4000</v>
      </c>
      <c r="H12" s="29">
        <f>4000</f>
        <v>4000</v>
      </c>
      <c r="I12" s="75" t="s">
        <v>129</v>
      </c>
      <c r="J12" s="31" t="s">
        <v>117</v>
      </c>
      <c r="K12" s="28">
        <f t="shared" ref="K12:K28" si="1">G12-H12</f>
        <v>0</v>
      </c>
      <c r="L12" s="32"/>
      <c r="M12" s="18" t="s">
        <v>25</v>
      </c>
      <c r="N12" s="11" t="s">
        <v>123</v>
      </c>
    </row>
    <row r="13" spans="1:14">
      <c r="A13" s="2">
        <v>3</v>
      </c>
      <c r="B13" s="2" t="s">
        <v>112</v>
      </c>
      <c r="C13" s="25"/>
      <c r="D13" s="34">
        <v>0</v>
      </c>
      <c r="E13" s="27">
        <v>4000</v>
      </c>
      <c r="F13" s="20">
        <f>MAR!K13</f>
        <v>0</v>
      </c>
      <c r="G13" s="28">
        <f t="shared" si="0"/>
        <v>4000</v>
      </c>
      <c r="H13" s="35">
        <f>4000</f>
        <v>4000</v>
      </c>
      <c r="I13" s="30" t="s">
        <v>58</v>
      </c>
      <c r="J13" s="31" t="s">
        <v>117</v>
      </c>
      <c r="K13" s="28">
        <f>G13-H13</f>
        <v>0</v>
      </c>
      <c r="L13" s="32"/>
      <c r="M13" s="18" t="s">
        <v>25</v>
      </c>
    </row>
    <row r="14" spans="1:14">
      <c r="A14" s="2">
        <v>4</v>
      </c>
      <c r="B14" s="2" t="s">
        <v>77</v>
      </c>
      <c r="C14" s="25" t="s">
        <v>30</v>
      </c>
      <c r="D14" s="34"/>
      <c r="E14" s="27">
        <v>6000</v>
      </c>
      <c r="F14" s="20">
        <f>MAR!K14</f>
        <v>0</v>
      </c>
      <c r="G14" s="28">
        <f t="shared" si="0"/>
        <v>6000</v>
      </c>
      <c r="H14" s="29">
        <f>6000</f>
        <v>6000</v>
      </c>
      <c r="I14" s="75" t="s">
        <v>122</v>
      </c>
      <c r="J14" s="31" t="s">
        <v>117</v>
      </c>
      <c r="K14" s="28">
        <f t="shared" ref="K14:K15" si="2">G14-H14</f>
        <v>0</v>
      </c>
      <c r="L14" s="32"/>
      <c r="M14" s="18"/>
      <c r="N14" s="11" t="s">
        <v>123</v>
      </c>
    </row>
    <row r="15" spans="1:14">
      <c r="A15" s="2">
        <v>5</v>
      </c>
      <c r="B15" s="2" t="s">
        <v>89</v>
      </c>
      <c r="C15" s="25" t="s">
        <v>75</v>
      </c>
      <c r="D15" s="34"/>
      <c r="E15" s="27">
        <v>6500</v>
      </c>
      <c r="F15" s="20">
        <f>MAR!K15</f>
        <v>0</v>
      </c>
      <c r="G15" s="28">
        <f t="shared" si="0"/>
        <v>6500</v>
      </c>
      <c r="H15" s="29">
        <f>6500</f>
        <v>6500</v>
      </c>
      <c r="I15" s="75" t="s">
        <v>131</v>
      </c>
      <c r="J15" s="31" t="s">
        <v>117</v>
      </c>
      <c r="K15" s="28">
        <f t="shared" si="2"/>
        <v>0</v>
      </c>
      <c r="L15" s="32"/>
      <c r="M15" s="18"/>
      <c r="N15" s="11" t="s">
        <v>123</v>
      </c>
    </row>
    <row r="16" spans="1:14">
      <c r="A16" s="2">
        <v>6</v>
      </c>
      <c r="B16" s="2" t="s">
        <v>32</v>
      </c>
      <c r="C16" s="25" t="s">
        <v>33</v>
      </c>
      <c r="D16" s="34">
        <v>0</v>
      </c>
      <c r="E16" s="27">
        <v>6500</v>
      </c>
      <c r="F16" s="20">
        <f>MAR!K16</f>
        <v>200</v>
      </c>
      <c r="G16" s="28">
        <f t="shared" si="0"/>
        <v>6700</v>
      </c>
      <c r="H16" s="29">
        <f>4800+1800</f>
        <v>6600</v>
      </c>
      <c r="I16" s="75" t="s">
        <v>121</v>
      </c>
      <c r="J16" s="31" t="s">
        <v>117</v>
      </c>
      <c r="K16" s="28">
        <f t="shared" si="1"/>
        <v>100</v>
      </c>
      <c r="L16" s="32"/>
      <c r="M16" s="18" t="s">
        <v>25</v>
      </c>
      <c r="N16" s="11" t="s">
        <v>123</v>
      </c>
    </row>
    <row r="17" spans="1:15">
      <c r="A17" s="33">
        <v>7</v>
      </c>
      <c r="B17" s="2" t="s">
        <v>110</v>
      </c>
      <c r="C17" s="25"/>
      <c r="D17" s="34"/>
      <c r="E17" s="27">
        <v>5500</v>
      </c>
      <c r="F17" s="20">
        <f>MAR!K17</f>
        <v>0</v>
      </c>
      <c r="G17" s="28">
        <f t="shared" si="0"/>
        <v>5500</v>
      </c>
      <c r="H17" s="29">
        <f>5000</f>
        <v>5000</v>
      </c>
      <c r="I17" s="30" t="s">
        <v>58</v>
      </c>
      <c r="J17" s="31" t="s">
        <v>117</v>
      </c>
      <c r="K17" s="28">
        <f t="shared" si="1"/>
        <v>500</v>
      </c>
      <c r="L17" s="32"/>
      <c r="M17" s="18" t="s">
        <v>25</v>
      </c>
      <c r="O17" s="36"/>
    </row>
    <row r="18" spans="1:15">
      <c r="A18" s="2">
        <v>8</v>
      </c>
      <c r="B18" s="2" t="s">
        <v>34</v>
      </c>
      <c r="C18" s="25" t="s">
        <v>35</v>
      </c>
      <c r="D18" s="34">
        <v>0</v>
      </c>
      <c r="E18" s="27">
        <v>5000</v>
      </c>
      <c r="F18" s="20">
        <f>MAR!K18</f>
        <v>0</v>
      </c>
      <c r="G18" s="28">
        <f t="shared" si="0"/>
        <v>5000</v>
      </c>
      <c r="H18" s="29">
        <f>5000</f>
        <v>5000</v>
      </c>
      <c r="I18" s="75" t="s">
        <v>125</v>
      </c>
      <c r="J18" s="31" t="s">
        <v>117</v>
      </c>
      <c r="K18" s="28">
        <f t="shared" si="1"/>
        <v>0</v>
      </c>
      <c r="L18" s="32" t="s">
        <v>36</v>
      </c>
      <c r="M18" s="18" t="s">
        <v>25</v>
      </c>
    </row>
    <row r="19" spans="1:15">
      <c r="A19" s="33">
        <v>9</v>
      </c>
      <c r="B19" s="2" t="s">
        <v>37</v>
      </c>
      <c r="C19" s="25" t="s">
        <v>38</v>
      </c>
      <c r="D19" s="34"/>
      <c r="E19" s="27"/>
      <c r="F19" s="20">
        <f>MAR!K19</f>
        <v>0</v>
      </c>
      <c r="G19" s="28">
        <f t="shared" si="0"/>
        <v>0</v>
      </c>
      <c r="I19" s="37"/>
      <c r="J19" s="31" t="s">
        <v>117</v>
      </c>
      <c r="K19" s="28">
        <f t="shared" si="1"/>
        <v>0</v>
      </c>
      <c r="L19" s="32"/>
      <c r="M19" s="18"/>
    </row>
    <row r="20" spans="1:15">
      <c r="A20" s="33">
        <v>10</v>
      </c>
      <c r="B20" s="2" t="s">
        <v>39</v>
      </c>
      <c r="C20" s="25" t="s">
        <v>40</v>
      </c>
      <c r="D20" s="38">
        <v>0</v>
      </c>
      <c r="E20" s="27">
        <v>3400</v>
      </c>
      <c r="F20" s="20">
        <f>MAR!K20</f>
        <v>0</v>
      </c>
      <c r="G20" s="28">
        <f t="shared" si="0"/>
        <v>3400</v>
      </c>
      <c r="H20" s="29">
        <f>3400</f>
        <v>3400</v>
      </c>
      <c r="I20" s="75" t="s">
        <v>120</v>
      </c>
      <c r="J20" s="31" t="s">
        <v>117</v>
      </c>
      <c r="K20" s="28">
        <f t="shared" si="1"/>
        <v>0</v>
      </c>
      <c r="L20" s="32"/>
      <c r="M20" s="18" t="s">
        <v>25</v>
      </c>
      <c r="N20" s="11" t="s">
        <v>123</v>
      </c>
    </row>
    <row r="21" spans="1:15">
      <c r="A21" s="33">
        <v>11</v>
      </c>
      <c r="B21" s="2" t="s">
        <v>41</v>
      </c>
      <c r="C21" s="25" t="s">
        <v>42</v>
      </c>
      <c r="D21" s="38">
        <v>0</v>
      </c>
      <c r="E21" s="27">
        <v>4500</v>
      </c>
      <c r="F21" s="20">
        <f>MAR!K21</f>
        <v>0</v>
      </c>
      <c r="G21" s="28">
        <f t="shared" si="0"/>
        <v>4500</v>
      </c>
      <c r="H21" s="29">
        <f>4500</f>
        <v>4500</v>
      </c>
      <c r="I21" s="75" t="s">
        <v>119</v>
      </c>
      <c r="J21" s="31" t="s">
        <v>117</v>
      </c>
      <c r="K21" s="28">
        <f t="shared" si="1"/>
        <v>0</v>
      </c>
      <c r="L21" s="32"/>
      <c r="M21" s="18" t="s">
        <v>25</v>
      </c>
      <c r="N21" s="11" t="s">
        <v>123</v>
      </c>
    </row>
    <row r="22" spans="1:15">
      <c r="A22" s="33">
        <v>12</v>
      </c>
      <c r="B22" s="2" t="s">
        <v>43</v>
      </c>
      <c r="C22" s="25" t="s">
        <v>44</v>
      </c>
      <c r="D22" s="38">
        <v>0</v>
      </c>
      <c r="E22" s="27">
        <v>8000</v>
      </c>
      <c r="F22" s="20">
        <f>MAR!K22</f>
        <v>3000</v>
      </c>
      <c r="G22" s="28">
        <f t="shared" si="0"/>
        <v>11000</v>
      </c>
      <c r="H22" s="29">
        <f>8000</f>
        <v>8000</v>
      </c>
      <c r="I22" s="78">
        <v>5432</v>
      </c>
      <c r="J22" s="31" t="s">
        <v>117</v>
      </c>
      <c r="K22" s="28">
        <f t="shared" si="1"/>
        <v>3000</v>
      </c>
      <c r="L22" s="32"/>
      <c r="M22" s="18" t="s">
        <v>25</v>
      </c>
    </row>
    <row r="23" spans="1:15">
      <c r="A23" s="33">
        <v>13</v>
      </c>
      <c r="B23" s="2" t="s">
        <v>45</v>
      </c>
      <c r="C23" s="25" t="s">
        <v>46</v>
      </c>
      <c r="D23" s="38">
        <v>0</v>
      </c>
      <c r="E23" s="27">
        <v>10000</v>
      </c>
      <c r="F23" s="20">
        <f>MAR!K23</f>
        <v>0</v>
      </c>
      <c r="G23" s="28">
        <f t="shared" si="0"/>
        <v>10000</v>
      </c>
      <c r="H23" s="29">
        <f>10000</f>
        <v>10000</v>
      </c>
      <c r="I23" s="75" t="s">
        <v>132</v>
      </c>
      <c r="J23" s="31" t="s">
        <v>117</v>
      </c>
      <c r="K23" s="28">
        <f t="shared" si="1"/>
        <v>0</v>
      </c>
      <c r="L23" s="32" t="s">
        <v>47</v>
      </c>
      <c r="M23" s="18" t="s">
        <v>25</v>
      </c>
    </row>
    <row r="24" spans="1:15">
      <c r="A24" s="33">
        <v>14</v>
      </c>
      <c r="B24" s="2" t="s">
        <v>48</v>
      </c>
      <c r="C24" s="25"/>
      <c r="D24" s="38"/>
      <c r="E24" s="27"/>
      <c r="F24" s="20">
        <f>MAR!K24</f>
        <v>0</v>
      </c>
      <c r="G24" s="28">
        <f t="shared" si="0"/>
        <v>0</v>
      </c>
      <c r="H24" s="29"/>
      <c r="I24" s="30"/>
      <c r="J24" s="31" t="s">
        <v>117</v>
      </c>
      <c r="K24" s="28">
        <f t="shared" si="1"/>
        <v>0</v>
      </c>
      <c r="L24" s="32"/>
      <c r="M24" s="18" t="s">
        <v>25</v>
      </c>
    </row>
    <row r="25" spans="1:15">
      <c r="A25" s="33">
        <v>15</v>
      </c>
      <c r="B25" s="2" t="s">
        <v>49</v>
      </c>
      <c r="C25" s="25" t="s">
        <v>50</v>
      </c>
      <c r="D25" s="38">
        <v>0</v>
      </c>
      <c r="E25" s="27">
        <v>10000</v>
      </c>
      <c r="F25" s="20">
        <f>MAR!K25</f>
        <v>3000</v>
      </c>
      <c r="G25" s="28">
        <f t="shared" si="0"/>
        <v>13000</v>
      </c>
      <c r="H25" s="35">
        <f>8000</f>
        <v>8000</v>
      </c>
      <c r="I25" s="75" t="s">
        <v>126</v>
      </c>
      <c r="J25" s="31" t="s">
        <v>117</v>
      </c>
      <c r="K25" s="28">
        <f t="shared" si="1"/>
        <v>5000</v>
      </c>
      <c r="L25" s="40"/>
      <c r="M25" s="18" t="s">
        <v>25</v>
      </c>
    </row>
    <row r="26" spans="1:15">
      <c r="A26" s="33">
        <v>16</v>
      </c>
      <c r="B26" s="2" t="s">
        <v>31</v>
      </c>
      <c r="C26" s="25"/>
      <c r="D26" s="38"/>
      <c r="E26" s="27"/>
      <c r="F26" s="20">
        <f>MAR!K26</f>
        <v>0</v>
      </c>
      <c r="G26" s="28">
        <f t="shared" si="0"/>
        <v>0</v>
      </c>
      <c r="H26" s="35"/>
      <c r="I26" s="39"/>
      <c r="J26" s="31" t="s">
        <v>117</v>
      </c>
      <c r="K26" s="28">
        <f t="shared" si="1"/>
        <v>0</v>
      </c>
      <c r="L26" s="40"/>
      <c r="M26" s="41"/>
    </row>
    <row r="27" spans="1:15">
      <c r="A27" s="33">
        <v>17</v>
      </c>
      <c r="B27" s="2" t="s">
        <v>51</v>
      </c>
      <c r="C27" s="25" t="s">
        <v>52</v>
      </c>
      <c r="D27" s="38"/>
      <c r="E27" s="27">
        <v>18000</v>
      </c>
      <c r="F27" s="20">
        <f>MAR!K27</f>
        <v>0</v>
      </c>
      <c r="G27" s="28">
        <f t="shared" si="0"/>
        <v>18000</v>
      </c>
      <c r="H27" s="35">
        <f>18000</f>
        <v>18000</v>
      </c>
      <c r="I27" s="76" t="s">
        <v>124</v>
      </c>
      <c r="J27" s="31" t="s">
        <v>117</v>
      </c>
      <c r="K27" s="28">
        <f t="shared" si="1"/>
        <v>0</v>
      </c>
      <c r="L27" s="40" t="s">
        <v>36</v>
      </c>
      <c r="M27" s="18" t="s">
        <v>25</v>
      </c>
    </row>
    <row r="28" spans="1:15">
      <c r="A28" s="33">
        <v>18</v>
      </c>
      <c r="B28" s="2" t="s">
        <v>99</v>
      </c>
      <c r="C28" s="25"/>
      <c r="D28" s="38"/>
      <c r="E28" s="27">
        <v>9000</v>
      </c>
      <c r="F28" s="20">
        <f>MAR!K28</f>
        <v>0</v>
      </c>
      <c r="G28" s="28">
        <f t="shared" si="0"/>
        <v>9000</v>
      </c>
      <c r="H28" s="35">
        <f>9000</f>
        <v>9000</v>
      </c>
      <c r="I28" s="76" t="s">
        <v>130</v>
      </c>
      <c r="J28" s="31" t="s">
        <v>117</v>
      </c>
      <c r="K28" s="28">
        <f t="shared" si="1"/>
        <v>0</v>
      </c>
      <c r="L28" s="40"/>
      <c r="M28" s="18" t="s">
        <v>25</v>
      </c>
      <c r="N28" s="11" t="s">
        <v>123</v>
      </c>
    </row>
    <row r="29" spans="1:15">
      <c r="A29" s="33">
        <v>19</v>
      </c>
      <c r="B29" s="2" t="s">
        <v>31</v>
      </c>
      <c r="C29" s="25"/>
      <c r="D29" s="38"/>
      <c r="E29" s="27"/>
      <c r="F29" s="20">
        <f>MAR!K29</f>
        <v>0</v>
      </c>
      <c r="G29" s="28">
        <f t="shared" si="0"/>
        <v>0</v>
      </c>
      <c r="H29" s="35"/>
      <c r="I29" s="39"/>
      <c r="J29" s="31" t="s">
        <v>117</v>
      </c>
      <c r="K29" s="28"/>
      <c r="L29" s="40"/>
      <c r="M29" s="41"/>
    </row>
    <row r="30" spans="1:15">
      <c r="A30" s="42" t="s">
        <v>55</v>
      </c>
      <c r="B30" s="33"/>
      <c r="C30" s="43"/>
      <c r="D30" s="34"/>
      <c r="E30" s="44">
        <f>SUM(E11:E29)</f>
        <v>105400</v>
      </c>
      <c r="F30" s="20">
        <f>SUM(F11:F29)</f>
        <v>1200</v>
      </c>
      <c r="G30" s="44">
        <f>SUM(G11:G29)</f>
        <v>106600</v>
      </c>
      <c r="H30" s="44">
        <f>SUM(H11:H29)</f>
        <v>98000</v>
      </c>
      <c r="I30" s="45"/>
      <c r="J30" s="44"/>
      <c r="K30" s="44">
        <f>SUM(K11:K29)</f>
        <v>8600</v>
      </c>
      <c r="L30" s="32"/>
      <c r="M30" s="46"/>
    </row>
    <row r="31" spans="1:15">
      <c r="A31" s="47" t="s">
        <v>56</v>
      </c>
      <c r="B31" s="2"/>
      <c r="C31" s="43"/>
      <c r="D31" s="48"/>
      <c r="E31" s="49"/>
      <c r="F31" s="50"/>
      <c r="G31" s="49"/>
      <c r="H31" s="49"/>
      <c r="I31" s="24"/>
      <c r="J31" s="1"/>
      <c r="K31" s="49"/>
      <c r="L31" s="49"/>
      <c r="M31" s="51"/>
    </row>
    <row r="32" spans="1:15">
      <c r="A32" s="2" t="s">
        <v>57</v>
      </c>
      <c r="B32" s="2"/>
      <c r="C32" s="43"/>
      <c r="D32" s="2"/>
      <c r="E32" s="52"/>
      <c r="F32" s="20"/>
      <c r="G32" s="2"/>
      <c r="H32" s="53">
        <f>10%*H30</f>
        <v>9800</v>
      </c>
      <c r="I32" s="54"/>
      <c r="J32" s="2"/>
      <c r="K32" s="2"/>
      <c r="L32" s="2"/>
      <c r="M32" s="55"/>
    </row>
    <row r="33" spans="1:13">
      <c r="A33" s="2" t="s">
        <v>58</v>
      </c>
      <c r="B33" s="2"/>
      <c r="C33" s="43"/>
      <c r="D33" s="2"/>
      <c r="E33" s="52"/>
      <c r="F33" s="20"/>
      <c r="G33" s="2"/>
      <c r="H33" s="77">
        <f>H13+H17</f>
        <v>9000</v>
      </c>
      <c r="I33" s="54"/>
      <c r="J33" s="2"/>
      <c r="K33" s="2"/>
      <c r="L33" s="2"/>
      <c r="M33" s="55"/>
    </row>
    <row r="34" spans="1:13">
      <c r="A34" s="15" t="s">
        <v>59</v>
      </c>
      <c r="B34" s="15"/>
      <c r="C34" s="15"/>
      <c r="D34" s="15"/>
      <c r="E34" s="15"/>
      <c r="F34" s="57"/>
      <c r="G34" s="15"/>
      <c r="H34" s="58">
        <f>SUM(H32:H33)</f>
        <v>18800</v>
      </c>
      <c r="I34" s="59"/>
      <c r="J34" s="15"/>
      <c r="K34" s="15" t="s">
        <v>60</v>
      </c>
      <c r="L34" s="15"/>
      <c r="M34" s="60"/>
    </row>
    <row r="35" spans="1:13">
      <c r="A35" s="15" t="s">
        <v>61</v>
      </c>
      <c r="B35" s="15"/>
      <c r="C35" s="15"/>
      <c r="D35" s="15"/>
      <c r="E35" s="15"/>
      <c r="F35" s="57"/>
      <c r="G35" s="15"/>
      <c r="H35" s="58">
        <f>MAR!K37</f>
        <v>0</v>
      </c>
      <c r="I35" s="59"/>
      <c r="J35" s="15"/>
      <c r="K35" s="15"/>
      <c r="L35" s="15" t="s">
        <v>60</v>
      </c>
      <c r="M35" s="60"/>
    </row>
    <row r="36" spans="1:13">
      <c r="A36" s="2"/>
      <c r="B36" s="2"/>
      <c r="C36" s="2"/>
      <c r="D36" s="2"/>
      <c r="E36" s="2"/>
      <c r="F36" s="20"/>
      <c r="G36" s="2"/>
      <c r="H36" s="53"/>
      <c r="I36" s="61" t="s">
        <v>62</v>
      </c>
      <c r="J36" s="62" t="s">
        <v>62</v>
      </c>
      <c r="K36" s="62" t="s">
        <v>63</v>
      </c>
      <c r="L36" s="62"/>
      <c r="M36" s="55"/>
    </row>
    <row r="37" spans="1:13" ht="16.5" thickBot="1">
      <c r="A37" s="1" t="s">
        <v>64</v>
      </c>
      <c r="B37" s="1"/>
      <c r="C37" s="1"/>
      <c r="D37" s="1"/>
      <c r="E37" s="1"/>
      <c r="F37" s="50"/>
      <c r="G37" s="1"/>
      <c r="H37" s="63">
        <f>H30-H34+H35</f>
        <v>79200</v>
      </c>
      <c r="I37" s="64">
        <v>70000</v>
      </c>
      <c r="J37" s="57">
        <v>9200</v>
      </c>
      <c r="K37" s="65">
        <f>H37-I37-J37</f>
        <v>0</v>
      </c>
      <c r="L37" s="57"/>
      <c r="M37" s="60"/>
    </row>
    <row r="38" spans="1:13" ht="16.5" thickTop="1">
      <c r="A38" s="2" t="s">
        <v>65</v>
      </c>
      <c r="B38" s="2"/>
      <c r="C38" s="2"/>
      <c r="D38" s="2"/>
      <c r="E38" s="2"/>
      <c r="F38" s="20"/>
      <c r="G38" s="2"/>
      <c r="H38" s="2"/>
      <c r="I38" s="54"/>
      <c r="J38" s="2"/>
      <c r="K38" s="66">
        <v>46142</v>
      </c>
      <c r="L38" s="67"/>
      <c r="M38" s="68"/>
    </row>
    <row r="40" spans="1:13">
      <c r="E40" s="69"/>
      <c r="H40" s="70"/>
    </row>
    <row r="41" spans="1:13">
      <c r="F41" s="11">
        <f>8350-7600</f>
        <v>750</v>
      </c>
      <c r="H41" s="36"/>
      <c r="I41" s="72"/>
    </row>
    <row r="42" spans="1:13">
      <c r="H42" s="11">
        <f>(H30/G30)*100</f>
        <v>91.932457786116316</v>
      </c>
    </row>
    <row r="43" spans="1:13">
      <c r="H43" s="73"/>
    </row>
    <row r="45" spans="1:13">
      <c r="J45" s="74"/>
      <c r="L45" s="11">
        <v>9891043</v>
      </c>
    </row>
    <row r="50" spans="10:10">
      <c r="J50" s="74"/>
    </row>
  </sheetData>
  <mergeCells count="1">
    <mergeCell ref="A3:K3"/>
  </mergeCells>
  <pageMargins left="0.25" right="0.25" top="0.75" bottom="0.75" header="0.3" footer="0.3"/>
  <pageSetup scale="70" fitToWidth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36B9-67F8-491B-9C1A-1FE6E61B5850}">
  <sheetPr>
    <pageSetUpPr fitToPage="1"/>
  </sheetPr>
  <dimension ref="A1:O38"/>
  <sheetViews>
    <sheetView topLeftCell="A10" zoomScaleNormal="100" workbookViewId="0">
      <selection activeCell="J38" sqref="J38"/>
    </sheetView>
  </sheetViews>
  <sheetFormatPr defaultColWidth="9" defaultRowHeight="15.75"/>
  <cols>
    <col min="1" max="1" width="5.85546875" style="11" customWidth="1"/>
    <col min="2" max="2" width="24.7109375" style="11" customWidth="1"/>
    <col min="3" max="3" width="12" style="11" customWidth="1"/>
    <col min="4" max="4" width="10.28515625" style="11" customWidth="1"/>
    <col min="5" max="5" width="9.5703125" style="11" customWidth="1"/>
    <col min="6" max="6" width="9" style="11" customWidth="1"/>
    <col min="7" max="7" width="10.28515625" style="11" customWidth="1"/>
    <col min="8" max="8" width="11" style="11" customWidth="1"/>
    <col min="9" max="9" width="25.5703125" style="71" customWidth="1"/>
    <col min="10" max="10" width="14.42578125" style="11" customWidth="1"/>
    <col min="11" max="11" width="13.5703125" style="11" customWidth="1"/>
    <col min="12" max="12" width="26.28515625" style="11" customWidth="1"/>
    <col min="13" max="13" width="16.140625" style="11" customWidth="1"/>
    <col min="14" max="16384" width="9" style="11"/>
  </cols>
  <sheetData>
    <row r="1" spans="1:14">
      <c r="A1" s="1"/>
      <c r="B1" s="2"/>
      <c r="C1" s="3" t="s">
        <v>0</v>
      </c>
      <c r="D1" s="4"/>
      <c r="E1" s="2"/>
      <c r="F1" s="5"/>
      <c r="G1" s="6"/>
      <c r="H1" s="6"/>
      <c r="I1" s="7"/>
      <c r="J1" s="8"/>
      <c r="K1" s="9"/>
      <c r="L1" s="9"/>
      <c r="M1" s="10"/>
    </row>
    <row r="2" spans="1:14">
      <c r="A2" s="1" t="s">
        <v>1</v>
      </c>
      <c r="B2" s="1"/>
      <c r="C2" s="1"/>
      <c r="D2" s="1"/>
      <c r="E2" s="6"/>
      <c r="F2" s="5"/>
      <c r="G2" s="6"/>
      <c r="H2" s="6"/>
      <c r="I2" s="7"/>
      <c r="J2" s="8"/>
      <c r="K2" s="9"/>
      <c r="L2" s="9"/>
      <c r="M2" s="10"/>
    </row>
    <row r="3" spans="1:14">
      <c r="A3" s="88" t="s">
        <v>134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1"/>
      <c r="M3" s="12"/>
    </row>
    <row r="4" spans="1:14">
      <c r="A4" s="1"/>
      <c r="B4" s="1"/>
      <c r="C4" s="1"/>
      <c r="D4" s="6"/>
      <c r="E4" s="6"/>
      <c r="F4" s="5"/>
      <c r="G4" s="6"/>
      <c r="H4" s="6"/>
      <c r="I4" s="7" t="s">
        <v>2</v>
      </c>
      <c r="J4" s="8"/>
      <c r="K4" s="13"/>
      <c r="L4" s="13"/>
      <c r="M4" s="14"/>
    </row>
    <row r="5" spans="1:14">
      <c r="A5" s="15" t="s">
        <v>3</v>
      </c>
      <c r="B5" s="15"/>
      <c r="C5" s="15"/>
      <c r="D5" s="13"/>
      <c r="E5" s="13"/>
      <c r="F5" s="16"/>
      <c r="G5" s="13"/>
      <c r="H5" s="13"/>
      <c r="I5" s="17" t="s">
        <v>4</v>
      </c>
      <c r="J5" s="18"/>
      <c r="K5" s="13"/>
      <c r="L5" s="13"/>
      <c r="M5" s="14"/>
    </row>
    <row r="6" spans="1:14">
      <c r="A6" s="19" t="s">
        <v>5</v>
      </c>
      <c r="B6" s="2"/>
      <c r="C6" s="15"/>
      <c r="D6" s="13"/>
      <c r="E6" s="13"/>
      <c r="F6" s="16"/>
      <c r="G6" s="13"/>
      <c r="H6" s="13"/>
      <c r="I6" s="17"/>
      <c r="J6" s="18"/>
      <c r="K6" s="13"/>
      <c r="L6" s="13"/>
      <c r="M6" s="14"/>
    </row>
    <row r="7" spans="1:14">
      <c r="A7" s="15" t="s">
        <v>6</v>
      </c>
      <c r="B7" s="15"/>
      <c r="C7" s="15"/>
      <c r="D7" s="2"/>
      <c r="E7" s="2"/>
      <c r="F7" s="20"/>
      <c r="G7" s="2"/>
      <c r="H7" s="13"/>
      <c r="I7" s="17"/>
      <c r="J7" s="18"/>
      <c r="K7" s="13"/>
      <c r="L7" s="13"/>
      <c r="M7" s="14"/>
    </row>
    <row r="8" spans="1:14">
      <c r="A8" s="15"/>
      <c r="B8" s="15"/>
      <c r="C8" s="15"/>
      <c r="D8" s="2"/>
      <c r="E8" s="2"/>
      <c r="F8" s="20"/>
      <c r="G8" s="2"/>
      <c r="H8" s="13" t="s">
        <v>7</v>
      </c>
      <c r="I8" s="17" t="s">
        <v>8</v>
      </c>
      <c r="J8" s="18"/>
      <c r="K8" s="13"/>
      <c r="L8" s="13"/>
      <c r="M8" s="14"/>
    </row>
    <row r="9" spans="1:14">
      <c r="A9" s="15"/>
      <c r="B9" s="15"/>
      <c r="C9" s="15"/>
      <c r="D9" s="2"/>
      <c r="E9" s="2"/>
      <c r="F9" s="20"/>
      <c r="G9" s="2"/>
      <c r="H9" s="13" t="s">
        <v>9</v>
      </c>
      <c r="I9" s="17"/>
      <c r="J9" s="18"/>
      <c r="K9" s="13"/>
      <c r="L9" s="13"/>
      <c r="M9" s="14"/>
    </row>
    <row r="10" spans="1:14" ht="35.25" customHeight="1">
      <c r="A10" s="1" t="s">
        <v>10</v>
      </c>
      <c r="B10" s="1" t="s">
        <v>11</v>
      </c>
      <c r="C10" s="1" t="s">
        <v>12</v>
      </c>
      <c r="D10" s="21" t="s">
        <v>13</v>
      </c>
      <c r="E10" s="22" t="s">
        <v>14</v>
      </c>
      <c r="F10" s="5" t="s">
        <v>15</v>
      </c>
      <c r="G10" s="23" t="s">
        <v>16</v>
      </c>
      <c r="H10" s="6" t="s">
        <v>17</v>
      </c>
      <c r="I10" s="24" t="s">
        <v>18</v>
      </c>
      <c r="J10" s="1" t="s">
        <v>19</v>
      </c>
      <c r="K10" s="6" t="s">
        <v>20</v>
      </c>
      <c r="L10" s="22" t="s">
        <v>21</v>
      </c>
      <c r="M10" s="6" t="s">
        <v>22</v>
      </c>
    </row>
    <row r="11" spans="1:14">
      <c r="A11" s="2">
        <v>1</v>
      </c>
      <c r="B11" s="2" t="s">
        <v>23</v>
      </c>
      <c r="C11" s="25" t="s">
        <v>24</v>
      </c>
      <c r="D11" s="26"/>
      <c r="E11" s="27">
        <v>5000</v>
      </c>
      <c r="F11" s="20">
        <f>APR!K11</f>
        <v>0</v>
      </c>
      <c r="G11" s="28">
        <f>D11+E11+F11</f>
        <v>5000</v>
      </c>
      <c r="H11" s="29"/>
      <c r="I11" s="30"/>
      <c r="J11" s="31" t="s">
        <v>133</v>
      </c>
      <c r="K11" s="28">
        <f>G11-H11</f>
        <v>5000</v>
      </c>
      <c r="L11" s="32" t="s">
        <v>149</v>
      </c>
      <c r="M11" s="18" t="s">
        <v>25</v>
      </c>
    </row>
    <row r="12" spans="1:14">
      <c r="A12" s="33">
        <v>2</v>
      </c>
      <c r="B12" s="2" t="s">
        <v>26</v>
      </c>
      <c r="C12" s="25" t="s">
        <v>27</v>
      </c>
      <c r="D12" s="28">
        <v>0</v>
      </c>
      <c r="E12" s="27">
        <v>4000</v>
      </c>
      <c r="F12" s="20">
        <f>APR!K12</f>
        <v>0</v>
      </c>
      <c r="G12" s="28">
        <f t="shared" ref="G12:G29" si="0">D12+E12+F12</f>
        <v>4000</v>
      </c>
      <c r="H12" s="29">
        <f>4000</f>
        <v>4000</v>
      </c>
      <c r="I12" s="75" t="s">
        <v>142</v>
      </c>
      <c r="J12" s="31" t="s">
        <v>133</v>
      </c>
      <c r="K12" s="28">
        <f t="shared" ref="K12:K28" si="1">G12-H12</f>
        <v>0</v>
      </c>
      <c r="L12" s="32"/>
      <c r="M12" s="18" t="s">
        <v>25</v>
      </c>
      <c r="N12" s="11" t="s">
        <v>123</v>
      </c>
    </row>
    <row r="13" spans="1:14">
      <c r="A13" s="2">
        <v>3</v>
      </c>
      <c r="B13" s="2" t="s">
        <v>48</v>
      </c>
      <c r="C13" s="25"/>
      <c r="D13" s="34">
        <v>0</v>
      </c>
      <c r="E13" s="27"/>
      <c r="F13" s="20">
        <f>APR!K13</f>
        <v>0</v>
      </c>
      <c r="G13" s="28">
        <f t="shared" si="0"/>
        <v>0</v>
      </c>
      <c r="H13" s="35"/>
      <c r="I13" s="30"/>
      <c r="J13" s="31" t="s">
        <v>133</v>
      </c>
      <c r="K13" s="28">
        <f>G13-H13</f>
        <v>0</v>
      </c>
      <c r="L13" s="32"/>
      <c r="M13" s="18" t="s">
        <v>25</v>
      </c>
    </row>
    <row r="14" spans="1:14">
      <c r="A14" s="2">
        <v>4</v>
      </c>
      <c r="B14" s="2" t="s">
        <v>77</v>
      </c>
      <c r="C14" s="25" t="s">
        <v>30</v>
      </c>
      <c r="D14" s="34"/>
      <c r="E14" s="27">
        <v>6000</v>
      </c>
      <c r="F14" s="20">
        <f>APR!K14</f>
        <v>0</v>
      </c>
      <c r="G14" s="28">
        <f t="shared" si="0"/>
        <v>6000</v>
      </c>
      <c r="H14" s="29">
        <f>6000</f>
        <v>6000</v>
      </c>
      <c r="I14" s="75" t="s">
        <v>139</v>
      </c>
      <c r="J14" s="31" t="s">
        <v>133</v>
      </c>
      <c r="K14" s="28">
        <f t="shared" ref="K14:K15" si="2">G14-H14</f>
        <v>0</v>
      </c>
      <c r="L14" s="32"/>
      <c r="M14" s="18"/>
      <c r="N14" s="11" t="s">
        <v>123</v>
      </c>
    </row>
    <row r="15" spans="1:14">
      <c r="A15" s="2">
        <v>5</v>
      </c>
      <c r="B15" s="2" t="s">
        <v>89</v>
      </c>
      <c r="C15" s="25" t="s">
        <v>75</v>
      </c>
      <c r="D15" s="34"/>
      <c r="E15" s="27">
        <v>6500</v>
      </c>
      <c r="F15" s="20">
        <f>APR!K15</f>
        <v>0</v>
      </c>
      <c r="G15" s="28">
        <f t="shared" si="0"/>
        <v>6500</v>
      </c>
      <c r="H15" s="29">
        <f>6500</f>
        <v>6500</v>
      </c>
      <c r="I15" s="75" t="s">
        <v>138</v>
      </c>
      <c r="J15" s="31" t="s">
        <v>133</v>
      </c>
      <c r="K15" s="28">
        <f t="shared" si="2"/>
        <v>0</v>
      </c>
      <c r="L15" s="32"/>
      <c r="M15" s="18"/>
      <c r="N15" s="11" t="s">
        <v>123</v>
      </c>
    </row>
    <row r="16" spans="1:14">
      <c r="A16" s="2">
        <v>6</v>
      </c>
      <c r="B16" s="2" t="s">
        <v>32</v>
      </c>
      <c r="C16" s="25" t="s">
        <v>33</v>
      </c>
      <c r="D16" s="34">
        <v>0</v>
      </c>
      <c r="E16" s="27">
        <v>6500</v>
      </c>
      <c r="F16" s="20">
        <f>APR!K16</f>
        <v>100</v>
      </c>
      <c r="G16" s="28">
        <f t="shared" si="0"/>
        <v>6600</v>
      </c>
      <c r="H16" s="29">
        <f>4500+2000</f>
        <v>6500</v>
      </c>
      <c r="I16" s="75" t="s">
        <v>141</v>
      </c>
      <c r="J16" s="31" t="s">
        <v>133</v>
      </c>
      <c r="K16" s="28">
        <f t="shared" si="1"/>
        <v>100</v>
      </c>
      <c r="L16" s="32"/>
      <c r="M16" s="18" t="s">
        <v>25</v>
      </c>
      <c r="N16" s="11" t="s">
        <v>123</v>
      </c>
    </row>
    <row r="17" spans="1:15">
      <c r="A17" s="33">
        <v>7</v>
      </c>
      <c r="B17" s="2" t="s">
        <v>110</v>
      </c>
      <c r="C17" s="25"/>
      <c r="D17" s="34"/>
      <c r="E17" s="27">
        <v>5500</v>
      </c>
      <c r="F17" s="20">
        <f>APR!K17</f>
        <v>500</v>
      </c>
      <c r="G17" s="28">
        <f t="shared" si="0"/>
        <v>6000</v>
      </c>
      <c r="H17" s="29">
        <f>5500</f>
        <v>5500</v>
      </c>
      <c r="I17" s="75" t="s">
        <v>145</v>
      </c>
      <c r="J17" s="31" t="s">
        <v>133</v>
      </c>
      <c r="K17" s="28">
        <f t="shared" si="1"/>
        <v>500</v>
      </c>
      <c r="L17" s="32"/>
      <c r="M17" s="18" t="s">
        <v>25</v>
      </c>
      <c r="O17" s="36"/>
    </row>
    <row r="18" spans="1:15">
      <c r="A18" s="2">
        <v>8</v>
      </c>
      <c r="B18" s="2" t="s">
        <v>34</v>
      </c>
      <c r="C18" s="25" t="s">
        <v>35</v>
      </c>
      <c r="D18" s="34">
        <v>0</v>
      </c>
      <c r="E18" s="27">
        <v>5000</v>
      </c>
      <c r="F18" s="20">
        <f>APR!K18</f>
        <v>0</v>
      </c>
      <c r="G18" s="28">
        <f t="shared" si="0"/>
        <v>5000</v>
      </c>
      <c r="H18" s="29">
        <f>5000</f>
        <v>5000</v>
      </c>
      <c r="I18" s="75" t="s">
        <v>144</v>
      </c>
      <c r="J18" s="31" t="s">
        <v>133</v>
      </c>
      <c r="K18" s="28">
        <f t="shared" si="1"/>
        <v>0</v>
      </c>
      <c r="L18" s="32" t="s">
        <v>36</v>
      </c>
      <c r="M18" s="18" t="s">
        <v>25</v>
      </c>
    </row>
    <row r="19" spans="1:15">
      <c r="A19" s="33">
        <v>9</v>
      </c>
      <c r="B19" s="2" t="s">
        <v>37</v>
      </c>
      <c r="C19" s="25" t="s">
        <v>38</v>
      </c>
      <c r="D19" s="34"/>
      <c r="E19" s="27"/>
      <c r="F19" s="20">
        <f>APR!K19</f>
        <v>0</v>
      </c>
      <c r="G19" s="28">
        <f t="shared" si="0"/>
        <v>0</v>
      </c>
      <c r="I19" s="37"/>
      <c r="J19" s="31" t="s">
        <v>133</v>
      </c>
      <c r="K19" s="28">
        <f t="shared" si="1"/>
        <v>0</v>
      </c>
      <c r="L19" s="32"/>
      <c r="M19" s="18"/>
    </row>
    <row r="20" spans="1:15">
      <c r="A20" s="33">
        <v>10</v>
      </c>
      <c r="B20" s="2" t="s">
        <v>39</v>
      </c>
      <c r="C20" s="25" t="s">
        <v>40</v>
      </c>
      <c r="D20" s="38">
        <v>0</v>
      </c>
      <c r="E20" s="27">
        <v>3400</v>
      </c>
      <c r="F20" s="20">
        <f>APR!K20</f>
        <v>0</v>
      </c>
      <c r="G20" s="28">
        <f t="shared" si="0"/>
        <v>3400</v>
      </c>
      <c r="H20" s="29">
        <f>3400</f>
        <v>3400</v>
      </c>
      <c r="I20" s="75" t="s">
        <v>136</v>
      </c>
      <c r="J20" s="31" t="s">
        <v>133</v>
      </c>
      <c r="K20" s="28">
        <f t="shared" si="1"/>
        <v>0</v>
      </c>
      <c r="L20" s="32"/>
      <c r="M20" s="18" t="s">
        <v>25</v>
      </c>
      <c r="N20" s="11" t="s">
        <v>123</v>
      </c>
    </row>
    <row r="21" spans="1:15">
      <c r="A21" s="33">
        <v>11</v>
      </c>
      <c r="B21" s="2" t="s">
        <v>41</v>
      </c>
      <c r="C21" s="25" t="s">
        <v>42</v>
      </c>
      <c r="D21" s="38">
        <v>0</v>
      </c>
      <c r="E21" s="27">
        <v>4500</v>
      </c>
      <c r="F21" s="20">
        <f>APR!K21</f>
        <v>0</v>
      </c>
      <c r="G21" s="28">
        <f t="shared" si="0"/>
        <v>4500</v>
      </c>
      <c r="H21" s="29">
        <f>4500</f>
        <v>4500</v>
      </c>
      <c r="I21" s="75" t="s">
        <v>135</v>
      </c>
      <c r="J21" s="31" t="s">
        <v>133</v>
      </c>
      <c r="K21" s="28">
        <f t="shared" si="1"/>
        <v>0</v>
      </c>
      <c r="L21" s="32"/>
      <c r="M21" s="18" t="s">
        <v>25</v>
      </c>
      <c r="N21" s="11" t="s">
        <v>123</v>
      </c>
    </row>
    <row r="22" spans="1:15">
      <c r="A22" s="33">
        <v>12</v>
      </c>
      <c r="B22" s="2" t="s">
        <v>43</v>
      </c>
      <c r="C22" s="25" t="s">
        <v>44</v>
      </c>
      <c r="D22" s="38">
        <v>0</v>
      </c>
      <c r="E22" s="27">
        <v>8000</v>
      </c>
      <c r="F22" s="20">
        <f>APR!K22</f>
        <v>3000</v>
      </c>
      <c r="G22" s="28">
        <f t="shared" si="0"/>
        <v>11000</v>
      </c>
      <c r="H22" s="29">
        <f>8000</f>
        <v>8000</v>
      </c>
      <c r="I22" s="78">
        <v>7707</v>
      </c>
      <c r="J22" s="31" t="s">
        <v>133</v>
      </c>
      <c r="K22" s="28">
        <f t="shared" si="1"/>
        <v>3000</v>
      </c>
      <c r="L22" s="32" t="s">
        <v>147</v>
      </c>
      <c r="M22" s="18" t="s">
        <v>25</v>
      </c>
    </row>
    <row r="23" spans="1:15">
      <c r="A23" s="33">
        <v>13</v>
      </c>
      <c r="B23" s="2" t="s">
        <v>45</v>
      </c>
      <c r="C23" s="25" t="s">
        <v>46</v>
      </c>
      <c r="D23" s="38">
        <v>0</v>
      </c>
      <c r="E23" s="27">
        <v>10000</v>
      </c>
      <c r="F23" s="20">
        <f>APR!K23</f>
        <v>0</v>
      </c>
      <c r="G23" s="28">
        <f t="shared" si="0"/>
        <v>10000</v>
      </c>
      <c r="H23" s="29">
        <f>10000</f>
        <v>10000</v>
      </c>
      <c r="I23" s="75" t="s">
        <v>143</v>
      </c>
      <c r="J23" s="31" t="s">
        <v>133</v>
      </c>
      <c r="K23" s="28">
        <f t="shared" si="1"/>
        <v>0</v>
      </c>
      <c r="L23" s="32" t="s">
        <v>47</v>
      </c>
      <c r="M23" s="18" t="s">
        <v>25</v>
      </c>
    </row>
    <row r="24" spans="1:15">
      <c r="A24" s="33">
        <v>14</v>
      </c>
      <c r="B24" s="2" t="s">
        <v>48</v>
      </c>
      <c r="C24" s="25"/>
      <c r="D24" s="38"/>
      <c r="E24" s="27"/>
      <c r="F24" s="20">
        <f>APR!K24</f>
        <v>0</v>
      </c>
      <c r="G24" s="28">
        <f t="shared" si="0"/>
        <v>0</v>
      </c>
      <c r="H24" s="29"/>
      <c r="I24" s="30"/>
      <c r="J24" s="31" t="s">
        <v>133</v>
      </c>
      <c r="K24" s="28">
        <f t="shared" si="1"/>
        <v>0</v>
      </c>
      <c r="L24" s="32"/>
      <c r="M24" s="18" t="s">
        <v>25</v>
      </c>
    </row>
    <row r="25" spans="1:15" ht="23.25">
      <c r="A25" s="33">
        <v>15</v>
      </c>
      <c r="B25" s="2" t="s">
        <v>49</v>
      </c>
      <c r="C25" s="25" t="s">
        <v>50</v>
      </c>
      <c r="D25" s="38">
        <v>0</v>
      </c>
      <c r="E25" s="27">
        <v>10000</v>
      </c>
      <c r="F25" s="20">
        <f>APR!K25</f>
        <v>5000</v>
      </c>
      <c r="G25" s="28">
        <f t="shared" si="0"/>
        <v>15000</v>
      </c>
      <c r="H25" s="35">
        <f>4000+2500+2500+4000</f>
        <v>13000</v>
      </c>
      <c r="I25" s="75" t="s">
        <v>146</v>
      </c>
      <c r="J25" s="31" t="s">
        <v>133</v>
      </c>
      <c r="K25" s="28">
        <f t="shared" si="1"/>
        <v>2000</v>
      </c>
      <c r="L25" s="40" t="s">
        <v>148</v>
      </c>
      <c r="M25" s="18" t="s">
        <v>25</v>
      </c>
    </row>
    <row r="26" spans="1:15">
      <c r="A26" s="33">
        <v>16</v>
      </c>
      <c r="B26" s="2" t="s">
        <v>31</v>
      </c>
      <c r="C26" s="25"/>
      <c r="D26" s="38"/>
      <c r="E26" s="27"/>
      <c r="F26" s="20">
        <f>APR!K26</f>
        <v>0</v>
      </c>
      <c r="G26" s="28">
        <f t="shared" si="0"/>
        <v>0</v>
      </c>
      <c r="H26" s="35"/>
      <c r="I26" s="39"/>
      <c r="J26" s="31" t="s">
        <v>133</v>
      </c>
      <c r="K26" s="28">
        <f t="shared" si="1"/>
        <v>0</v>
      </c>
      <c r="L26" s="40"/>
      <c r="M26" s="41"/>
    </row>
    <row r="27" spans="1:15">
      <c r="A27" s="33">
        <v>17</v>
      </c>
      <c r="B27" s="2" t="s">
        <v>51</v>
      </c>
      <c r="C27" s="25" t="s">
        <v>52</v>
      </c>
      <c r="D27" s="38"/>
      <c r="E27" s="27">
        <v>18000</v>
      </c>
      <c r="F27" s="20">
        <f>APR!K27</f>
        <v>0</v>
      </c>
      <c r="G27" s="28">
        <f t="shared" si="0"/>
        <v>18000</v>
      </c>
      <c r="H27" s="35">
        <f>18000</f>
        <v>18000</v>
      </c>
      <c r="I27" s="76" t="s">
        <v>140</v>
      </c>
      <c r="J27" s="31" t="s">
        <v>133</v>
      </c>
      <c r="K27" s="28">
        <f t="shared" si="1"/>
        <v>0</v>
      </c>
      <c r="L27" s="40" t="s">
        <v>36</v>
      </c>
      <c r="M27" s="18" t="s">
        <v>25</v>
      </c>
    </row>
    <row r="28" spans="1:15">
      <c r="A28" s="33">
        <v>18</v>
      </c>
      <c r="B28" s="2" t="s">
        <v>99</v>
      </c>
      <c r="C28" s="25"/>
      <c r="D28" s="38"/>
      <c r="E28" s="27">
        <v>9000</v>
      </c>
      <c r="F28" s="20">
        <f>APR!K28</f>
        <v>0</v>
      </c>
      <c r="G28" s="28">
        <f t="shared" si="0"/>
        <v>9000</v>
      </c>
      <c r="H28" s="35">
        <f>9000</f>
        <v>9000</v>
      </c>
      <c r="I28" s="76" t="s">
        <v>137</v>
      </c>
      <c r="J28" s="31" t="s">
        <v>133</v>
      </c>
      <c r="K28" s="28">
        <f t="shared" si="1"/>
        <v>0</v>
      </c>
      <c r="L28" s="40"/>
      <c r="M28" s="18" t="s">
        <v>25</v>
      </c>
      <c r="N28" s="11" t="s">
        <v>123</v>
      </c>
    </row>
    <row r="29" spans="1:15">
      <c r="A29" s="33">
        <v>19</v>
      </c>
      <c r="B29" s="2" t="s">
        <v>31</v>
      </c>
      <c r="C29" s="25"/>
      <c r="D29" s="38"/>
      <c r="E29" s="27"/>
      <c r="F29" s="20">
        <f>APR!K29</f>
        <v>0</v>
      </c>
      <c r="G29" s="28">
        <f t="shared" si="0"/>
        <v>0</v>
      </c>
      <c r="H29" s="35"/>
      <c r="I29" s="39"/>
      <c r="J29" s="31" t="s">
        <v>133</v>
      </c>
      <c r="K29" s="28"/>
      <c r="L29" s="40"/>
      <c r="M29" s="41"/>
    </row>
    <row r="30" spans="1:15">
      <c r="A30" s="42" t="s">
        <v>55</v>
      </c>
      <c r="B30" s="33"/>
      <c r="C30" s="43"/>
      <c r="D30" s="34"/>
      <c r="E30" s="44">
        <f>SUM(E11:E29)</f>
        <v>101400</v>
      </c>
      <c r="F30" s="20">
        <f>SUM(F11:F29)</f>
        <v>8600</v>
      </c>
      <c r="G30" s="44">
        <f>SUM(G11:G29)</f>
        <v>110000</v>
      </c>
      <c r="H30" s="44">
        <f>SUM(H11:H29)</f>
        <v>99400</v>
      </c>
      <c r="I30" s="45"/>
      <c r="J30" s="44"/>
      <c r="K30" s="44">
        <f>SUM(K11:K29)</f>
        <v>10600</v>
      </c>
      <c r="L30" s="32"/>
      <c r="M30" s="46"/>
    </row>
    <row r="31" spans="1:15">
      <c r="A31" s="47" t="s">
        <v>56</v>
      </c>
      <c r="B31" s="2"/>
      <c r="C31" s="43"/>
      <c r="D31" s="48"/>
      <c r="E31" s="49"/>
      <c r="F31" s="50"/>
      <c r="G31" s="49"/>
      <c r="H31" s="49"/>
      <c r="I31" s="24"/>
      <c r="J31" s="1"/>
      <c r="K31" s="49"/>
      <c r="L31" s="49"/>
      <c r="M31" s="51"/>
    </row>
    <row r="32" spans="1:15">
      <c r="A32" s="2" t="s">
        <v>57</v>
      </c>
      <c r="B32" s="2"/>
      <c r="C32" s="43"/>
      <c r="D32" s="2"/>
      <c r="E32" s="52"/>
      <c r="F32" s="20"/>
      <c r="G32" s="2"/>
      <c r="H32" s="53">
        <f>10%*H30</f>
        <v>9940</v>
      </c>
      <c r="I32" s="54"/>
      <c r="J32" s="2"/>
      <c r="K32" s="2"/>
      <c r="L32" s="2"/>
      <c r="M32" s="55"/>
    </row>
    <row r="33" spans="1:13">
      <c r="A33" s="2" t="s">
        <v>58</v>
      </c>
      <c r="B33" s="2"/>
      <c r="C33" s="43"/>
      <c r="D33" s="2"/>
      <c r="E33" s="52"/>
      <c r="F33" s="20"/>
      <c r="G33" s="2"/>
      <c r="H33" s="77"/>
      <c r="I33" s="54"/>
      <c r="J33" s="2"/>
      <c r="K33" s="2"/>
      <c r="L33" s="2"/>
      <c r="M33" s="55"/>
    </row>
    <row r="34" spans="1:13">
      <c r="A34" s="15" t="s">
        <v>59</v>
      </c>
      <c r="B34" s="15"/>
      <c r="C34" s="15"/>
      <c r="D34" s="15"/>
      <c r="E34" s="15"/>
      <c r="F34" s="57"/>
      <c r="G34" s="15"/>
      <c r="H34" s="58">
        <f>SUM(H32:H33)</f>
        <v>9940</v>
      </c>
      <c r="I34" s="59"/>
      <c r="J34" s="15"/>
      <c r="K34" s="15" t="s">
        <v>60</v>
      </c>
      <c r="L34" s="15"/>
      <c r="M34" s="60"/>
    </row>
    <row r="35" spans="1:13">
      <c r="A35" s="15" t="s">
        <v>61</v>
      </c>
      <c r="B35" s="15"/>
      <c r="C35" s="15"/>
      <c r="D35" s="15"/>
      <c r="E35" s="15"/>
      <c r="F35" s="57"/>
      <c r="G35" s="15"/>
      <c r="H35" s="58">
        <f>MAR!K37</f>
        <v>0</v>
      </c>
      <c r="I35" s="59"/>
      <c r="J35" s="15"/>
      <c r="K35" s="15"/>
      <c r="L35" s="15" t="s">
        <v>60</v>
      </c>
      <c r="M35" s="60"/>
    </row>
    <row r="36" spans="1:13">
      <c r="A36" s="2"/>
      <c r="B36" s="2"/>
      <c r="C36" s="2"/>
      <c r="D36" s="2"/>
      <c r="E36" s="2"/>
      <c r="F36" s="20"/>
      <c r="G36" s="2"/>
      <c r="H36" s="53"/>
      <c r="I36" s="62" t="s">
        <v>62</v>
      </c>
      <c r="J36" s="62" t="s">
        <v>62</v>
      </c>
      <c r="K36" s="62" t="s">
        <v>63</v>
      </c>
      <c r="L36" s="62"/>
      <c r="M36" s="55"/>
    </row>
    <row r="37" spans="1:13" ht="16.5" thickBot="1">
      <c r="A37" s="1" t="s">
        <v>64</v>
      </c>
      <c r="B37" s="1"/>
      <c r="C37" s="1"/>
      <c r="D37" s="1"/>
      <c r="E37" s="1"/>
      <c r="F37" s="50"/>
      <c r="G37" s="1"/>
      <c r="H37" s="63">
        <f>H30-H34+H35</f>
        <v>89460</v>
      </c>
      <c r="I37" s="64">
        <v>70000</v>
      </c>
      <c r="J37" s="57">
        <v>13960</v>
      </c>
      <c r="K37" s="65">
        <f>H37-I37-J37</f>
        <v>5500</v>
      </c>
      <c r="L37" s="57"/>
      <c r="M37" s="60"/>
    </row>
    <row r="38" spans="1:13" ht="16.5" thickTop="1">
      <c r="A38" s="2" t="s">
        <v>65</v>
      </c>
      <c r="B38" s="2"/>
      <c r="C38" s="2"/>
      <c r="D38" s="2"/>
      <c r="E38" s="2"/>
      <c r="F38" s="20"/>
      <c r="G38" s="2"/>
      <c r="H38" s="2"/>
      <c r="I38" s="54"/>
      <c r="J38" s="2"/>
      <c r="K38" s="66">
        <v>46173</v>
      </c>
      <c r="L38" s="67"/>
      <c r="M38" s="68"/>
    </row>
  </sheetData>
  <mergeCells count="1">
    <mergeCell ref="A3:K3"/>
  </mergeCells>
  <pageMargins left="0.25" right="0.25" top="0.75" bottom="0.75" header="0.3" footer="0.3"/>
  <pageSetup scale="6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96CC0-C9F7-4AA5-9346-041F917B6E9F}">
  <sheetPr>
    <pageSetUpPr fitToPage="1"/>
  </sheetPr>
  <dimension ref="A1:O41"/>
  <sheetViews>
    <sheetView topLeftCell="A21" zoomScaleNormal="100" workbookViewId="0">
      <selection activeCell="J34" sqref="J34"/>
    </sheetView>
  </sheetViews>
  <sheetFormatPr defaultColWidth="9" defaultRowHeight="15.75"/>
  <cols>
    <col min="1" max="1" width="5.85546875" style="11" customWidth="1"/>
    <col min="2" max="2" width="24.7109375" style="11" customWidth="1"/>
    <col min="3" max="3" width="12" style="11" customWidth="1"/>
    <col min="4" max="4" width="10.28515625" style="11" customWidth="1"/>
    <col min="5" max="5" width="9.5703125" style="11" customWidth="1"/>
    <col min="6" max="6" width="9" style="11" customWidth="1"/>
    <col min="7" max="7" width="10.28515625" style="11" customWidth="1"/>
    <col min="8" max="8" width="11" style="11" customWidth="1"/>
    <col min="9" max="9" width="25.5703125" style="71" customWidth="1"/>
    <col min="10" max="10" width="14.42578125" style="11" customWidth="1"/>
    <col min="11" max="11" width="13.5703125" style="11" customWidth="1"/>
    <col min="12" max="12" width="26.28515625" style="11" customWidth="1"/>
    <col min="13" max="13" width="16.140625" style="11" customWidth="1"/>
    <col min="14" max="16384" width="9" style="11"/>
  </cols>
  <sheetData>
    <row r="1" spans="1:14">
      <c r="A1" s="1"/>
      <c r="B1" s="2"/>
      <c r="C1" s="3" t="s">
        <v>0</v>
      </c>
      <c r="D1" s="4"/>
      <c r="E1" s="2"/>
      <c r="F1" s="5"/>
      <c r="G1" s="6"/>
      <c r="H1" s="6"/>
      <c r="I1" s="7"/>
      <c r="J1" s="8"/>
      <c r="K1" s="9"/>
      <c r="L1" s="9"/>
      <c r="M1" s="10"/>
    </row>
    <row r="2" spans="1:14">
      <c r="A2" s="1" t="s">
        <v>1</v>
      </c>
      <c r="B2" s="1"/>
      <c r="C2" s="1"/>
      <c r="D2" s="1"/>
      <c r="E2" s="6"/>
      <c r="F2" s="5"/>
      <c r="G2" s="6"/>
      <c r="H2" s="6"/>
      <c r="I2" s="7"/>
      <c r="J2" s="8"/>
      <c r="K2" s="9"/>
      <c r="L2" s="9"/>
      <c r="M2" s="10"/>
    </row>
    <row r="3" spans="1:14">
      <c r="A3" s="88" t="s">
        <v>151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1"/>
      <c r="M3" s="12"/>
    </row>
    <row r="4" spans="1:14">
      <c r="A4" s="1"/>
      <c r="B4" s="1"/>
      <c r="C4" s="1"/>
      <c r="D4" s="6"/>
      <c r="E4" s="6"/>
      <c r="F4" s="5"/>
      <c r="G4" s="6"/>
      <c r="H4" s="6"/>
      <c r="I4" s="7" t="s">
        <v>2</v>
      </c>
      <c r="J4" s="8"/>
      <c r="K4" s="13"/>
      <c r="L4" s="13"/>
      <c r="M4" s="14"/>
    </row>
    <row r="5" spans="1:14">
      <c r="A5" s="15" t="s">
        <v>3</v>
      </c>
      <c r="B5" s="15"/>
      <c r="C5" s="15"/>
      <c r="D5" s="13"/>
      <c r="E5" s="13"/>
      <c r="F5" s="16"/>
      <c r="G5" s="13"/>
      <c r="H5" s="13"/>
      <c r="I5" s="17" t="s">
        <v>4</v>
      </c>
      <c r="J5" s="18"/>
      <c r="K5" s="13"/>
      <c r="L5" s="13"/>
      <c r="M5" s="14"/>
    </row>
    <row r="6" spans="1:14">
      <c r="A6" s="19" t="s">
        <v>5</v>
      </c>
      <c r="B6" s="2"/>
      <c r="C6" s="15"/>
      <c r="D6" s="13"/>
      <c r="E6" s="13"/>
      <c r="F6" s="16"/>
      <c r="G6" s="13"/>
      <c r="H6" s="13"/>
      <c r="I6" s="17"/>
      <c r="J6" s="18"/>
      <c r="K6" s="13"/>
      <c r="L6" s="13"/>
      <c r="M6" s="14"/>
    </row>
    <row r="7" spans="1:14">
      <c r="A7" s="15" t="s">
        <v>6</v>
      </c>
      <c r="B7" s="15"/>
      <c r="C7" s="15"/>
      <c r="D7" s="2"/>
      <c r="E7" s="2"/>
      <c r="F7" s="20"/>
      <c r="G7" s="2"/>
      <c r="H7" s="13"/>
      <c r="I7" s="17"/>
      <c r="J7" s="18"/>
      <c r="K7" s="13"/>
      <c r="L7" s="13"/>
      <c r="M7" s="14"/>
    </row>
    <row r="8" spans="1:14">
      <c r="A8" s="15"/>
      <c r="B8" s="15"/>
      <c r="C8" s="15"/>
      <c r="D8" s="2"/>
      <c r="E8" s="2"/>
      <c r="F8" s="20"/>
      <c r="G8" s="2"/>
      <c r="H8" s="13" t="s">
        <v>7</v>
      </c>
      <c r="I8" s="17" t="s">
        <v>8</v>
      </c>
      <c r="J8" s="18"/>
      <c r="K8" s="13"/>
      <c r="L8" s="13"/>
      <c r="M8" s="14"/>
    </row>
    <row r="9" spans="1:14">
      <c r="A9" s="15"/>
      <c r="B9" s="15"/>
      <c r="C9" s="15"/>
      <c r="D9" s="2"/>
      <c r="E9" s="2"/>
      <c r="F9" s="20"/>
      <c r="G9" s="2"/>
      <c r="H9" s="13" t="s">
        <v>9</v>
      </c>
      <c r="I9" s="17"/>
      <c r="J9" s="18"/>
      <c r="K9" s="13"/>
      <c r="L9" s="13"/>
      <c r="M9" s="14"/>
    </row>
    <row r="10" spans="1:14" ht="35.25" customHeight="1">
      <c r="A10" s="1" t="s">
        <v>10</v>
      </c>
      <c r="B10" s="1" t="s">
        <v>11</v>
      </c>
      <c r="C10" s="1" t="s">
        <v>12</v>
      </c>
      <c r="D10" s="21" t="s">
        <v>13</v>
      </c>
      <c r="E10" s="22" t="s">
        <v>14</v>
      </c>
      <c r="F10" s="5" t="s">
        <v>15</v>
      </c>
      <c r="G10" s="23" t="s">
        <v>16</v>
      </c>
      <c r="H10" s="6" t="s">
        <v>17</v>
      </c>
      <c r="I10" s="24" t="s">
        <v>18</v>
      </c>
      <c r="J10" s="1" t="s">
        <v>19</v>
      </c>
      <c r="K10" s="6" t="s">
        <v>20</v>
      </c>
      <c r="L10" s="22" t="s">
        <v>21</v>
      </c>
      <c r="M10" s="6" t="s">
        <v>22</v>
      </c>
    </row>
    <row r="11" spans="1:14">
      <c r="A11" s="2">
        <v>1</v>
      </c>
      <c r="B11" s="2" t="s">
        <v>112</v>
      </c>
      <c r="C11" s="25"/>
      <c r="D11" s="26"/>
      <c r="E11" s="27"/>
      <c r="F11" s="20"/>
      <c r="G11" s="28">
        <f>D11+E11+F11</f>
        <v>0</v>
      </c>
      <c r="H11" s="79"/>
      <c r="I11" s="80"/>
      <c r="J11" s="81" t="s">
        <v>150</v>
      </c>
      <c r="K11" s="28">
        <f>G11-H11</f>
        <v>0</v>
      </c>
      <c r="L11" s="32"/>
      <c r="M11" s="18" t="s">
        <v>25</v>
      </c>
    </row>
    <row r="12" spans="1:14">
      <c r="A12" s="33">
        <v>2</v>
      </c>
      <c r="B12" s="2" t="s">
        <v>26</v>
      </c>
      <c r="C12" s="25" t="s">
        <v>27</v>
      </c>
      <c r="D12" s="28">
        <v>0</v>
      </c>
      <c r="E12" s="27">
        <v>4000</v>
      </c>
      <c r="F12" s="20">
        <f>MAY!K12</f>
        <v>0</v>
      </c>
      <c r="G12" s="28">
        <f t="shared" ref="G12:G29" si="0">D12+E12+F12</f>
        <v>4000</v>
      </c>
      <c r="H12" s="79">
        <f>4000</f>
        <v>4000</v>
      </c>
      <c r="I12" s="75" t="s">
        <v>163</v>
      </c>
      <c r="J12" s="81" t="s">
        <v>150</v>
      </c>
      <c r="K12" s="28">
        <f t="shared" ref="K12:K28" si="1">G12-H12</f>
        <v>0</v>
      </c>
      <c r="L12" s="32"/>
      <c r="M12" s="18" t="s">
        <v>25</v>
      </c>
      <c r="N12" s="11" t="s">
        <v>123</v>
      </c>
    </row>
    <row r="13" spans="1:14">
      <c r="A13" s="2">
        <v>3</v>
      </c>
      <c r="B13" s="2" t="s">
        <v>112</v>
      </c>
      <c r="C13" s="25"/>
      <c r="D13" s="34">
        <v>0</v>
      </c>
      <c r="E13" s="27"/>
      <c r="F13" s="20">
        <f>MAY!K13</f>
        <v>0</v>
      </c>
      <c r="G13" s="28">
        <f t="shared" si="0"/>
        <v>0</v>
      </c>
      <c r="H13" s="82"/>
      <c r="I13" s="80"/>
      <c r="J13" s="81" t="s">
        <v>150</v>
      </c>
      <c r="K13" s="28">
        <f>G13-H13</f>
        <v>0</v>
      </c>
      <c r="L13" s="32"/>
      <c r="M13" s="18" t="s">
        <v>25</v>
      </c>
    </row>
    <row r="14" spans="1:14">
      <c r="A14" s="2">
        <v>4</v>
      </c>
      <c r="B14" s="2" t="s">
        <v>77</v>
      </c>
      <c r="C14" s="25" t="s">
        <v>30</v>
      </c>
      <c r="D14" s="34"/>
      <c r="E14" s="27">
        <v>6000</v>
      </c>
      <c r="F14" s="20">
        <f>MAY!K14</f>
        <v>0</v>
      </c>
      <c r="G14" s="28">
        <f t="shared" si="0"/>
        <v>6000</v>
      </c>
      <c r="H14" s="79">
        <f>6000</f>
        <v>6000</v>
      </c>
      <c r="I14" s="75" t="s">
        <v>155</v>
      </c>
      <c r="J14" s="81" t="s">
        <v>150</v>
      </c>
      <c r="K14" s="28">
        <f t="shared" ref="K14:K15" si="2">G14-H14</f>
        <v>0</v>
      </c>
      <c r="L14" s="32"/>
      <c r="M14" s="18"/>
      <c r="N14" s="11" t="s">
        <v>123</v>
      </c>
    </row>
    <row r="15" spans="1:14">
      <c r="A15" s="2">
        <v>5</v>
      </c>
      <c r="B15" s="2" t="s">
        <v>89</v>
      </c>
      <c r="C15" s="25" t="s">
        <v>75</v>
      </c>
      <c r="D15" s="34"/>
      <c r="E15" s="27">
        <v>6500</v>
      </c>
      <c r="F15" s="20">
        <f>MAY!K15</f>
        <v>0</v>
      </c>
      <c r="G15" s="28">
        <f t="shared" si="0"/>
        <v>6500</v>
      </c>
      <c r="H15" s="79">
        <f>6500</f>
        <v>6500</v>
      </c>
      <c r="I15" s="75" t="s">
        <v>154</v>
      </c>
      <c r="J15" s="81" t="s">
        <v>150</v>
      </c>
      <c r="K15" s="28">
        <f t="shared" si="2"/>
        <v>0</v>
      </c>
      <c r="L15" s="32"/>
      <c r="M15" s="18"/>
      <c r="N15" s="11" t="s">
        <v>123</v>
      </c>
    </row>
    <row r="16" spans="1:14">
      <c r="A16" s="2">
        <v>6</v>
      </c>
      <c r="B16" s="2" t="s">
        <v>32</v>
      </c>
      <c r="C16" s="25" t="s">
        <v>33</v>
      </c>
      <c r="D16" s="34">
        <v>0</v>
      </c>
      <c r="E16" s="27">
        <v>6500</v>
      </c>
      <c r="F16" s="20">
        <f>MAY!K16</f>
        <v>100</v>
      </c>
      <c r="G16" s="28">
        <f t="shared" si="0"/>
        <v>6600</v>
      </c>
      <c r="H16" s="79">
        <f>6000+500</f>
        <v>6500</v>
      </c>
      <c r="I16" s="75" t="s">
        <v>159</v>
      </c>
      <c r="J16" s="81" t="s">
        <v>150</v>
      </c>
      <c r="K16" s="28">
        <f t="shared" si="1"/>
        <v>100</v>
      </c>
      <c r="L16" s="32"/>
      <c r="M16" s="18" t="s">
        <v>25</v>
      </c>
      <c r="N16" s="11" t="s">
        <v>123</v>
      </c>
    </row>
    <row r="17" spans="1:15">
      <c r="A17" s="33">
        <v>7</v>
      </c>
      <c r="B17" s="2" t="s">
        <v>110</v>
      </c>
      <c r="C17" s="25"/>
      <c r="D17" s="34"/>
      <c r="E17" s="27">
        <v>5500</v>
      </c>
      <c r="F17" s="20">
        <f>MAY!K17</f>
        <v>500</v>
      </c>
      <c r="G17" s="28">
        <f t="shared" si="0"/>
        <v>6000</v>
      </c>
      <c r="H17" s="79">
        <f>5500</f>
        <v>5500</v>
      </c>
      <c r="I17" s="75" t="s">
        <v>161</v>
      </c>
      <c r="J17" s="81" t="s">
        <v>150</v>
      </c>
      <c r="K17" s="28">
        <f t="shared" si="1"/>
        <v>500</v>
      </c>
      <c r="L17" s="32"/>
      <c r="M17" s="18" t="s">
        <v>25</v>
      </c>
      <c r="O17" s="36"/>
    </row>
    <row r="18" spans="1:15">
      <c r="A18" s="2">
        <v>8</v>
      </c>
      <c r="B18" s="2" t="s">
        <v>34</v>
      </c>
      <c r="C18" s="25" t="s">
        <v>35</v>
      </c>
      <c r="D18" s="34">
        <v>0</v>
      </c>
      <c r="E18" s="27">
        <v>5000</v>
      </c>
      <c r="F18" s="20">
        <f>MAY!K18</f>
        <v>0</v>
      </c>
      <c r="G18" s="28">
        <f t="shared" si="0"/>
        <v>5000</v>
      </c>
      <c r="H18" s="79">
        <f>5000</f>
        <v>5000</v>
      </c>
      <c r="I18" s="75" t="s">
        <v>160</v>
      </c>
      <c r="J18" s="81" t="s">
        <v>150</v>
      </c>
      <c r="K18" s="28">
        <f t="shared" si="1"/>
        <v>0</v>
      </c>
      <c r="L18" s="32" t="s">
        <v>36</v>
      </c>
      <c r="M18" s="18" t="s">
        <v>25</v>
      </c>
    </row>
    <row r="19" spans="1:15">
      <c r="A19" s="33">
        <v>9</v>
      </c>
      <c r="B19" s="2" t="s">
        <v>37</v>
      </c>
      <c r="C19" s="25" t="s">
        <v>38</v>
      </c>
      <c r="D19" s="34"/>
      <c r="E19" s="27"/>
      <c r="F19" s="20">
        <f>MAY!K19</f>
        <v>0</v>
      </c>
      <c r="G19" s="28">
        <f t="shared" si="0"/>
        <v>0</v>
      </c>
      <c r="H19" s="83"/>
      <c r="I19" s="84"/>
      <c r="J19" s="81" t="s">
        <v>150</v>
      </c>
      <c r="K19" s="28">
        <f t="shared" si="1"/>
        <v>0</v>
      </c>
      <c r="L19" s="32"/>
      <c r="M19" s="18"/>
    </row>
    <row r="20" spans="1:15">
      <c r="A20" s="33">
        <v>10</v>
      </c>
      <c r="B20" s="2" t="s">
        <v>39</v>
      </c>
      <c r="C20" s="25" t="s">
        <v>40</v>
      </c>
      <c r="D20" s="38">
        <v>0</v>
      </c>
      <c r="E20" s="27">
        <v>3400</v>
      </c>
      <c r="F20" s="20">
        <f>MAY!K20</f>
        <v>0</v>
      </c>
      <c r="G20" s="28">
        <f t="shared" si="0"/>
        <v>3400</v>
      </c>
      <c r="H20" s="79">
        <f>3400</f>
        <v>3400</v>
      </c>
      <c r="I20" s="75" t="s">
        <v>153</v>
      </c>
      <c r="J20" s="81" t="s">
        <v>150</v>
      </c>
      <c r="K20" s="28">
        <f t="shared" si="1"/>
        <v>0</v>
      </c>
      <c r="L20" s="32"/>
      <c r="M20" s="18" t="s">
        <v>25</v>
      </c>
      <c r="N20" s="11" t="s">
        <v>123</v>
      </c>
    </row>
    <row r="21" spans="1:15">
      <c r="A21" s="33">
        <v>11</v>
      </c>
      <c r="B21" s="2" t="s">
        <v>41</v>
      </c>
      <c r="C21" s="25" t="s">
        <v>42</v>
      </c>
      <c r="D21" s="38">
        <v>0</v>
      </c>
      <c r="E21" s="27">
        <v>4500</v>
      </c>
      <c r="F21" s="20">
        <f>MAY!K21</f>
        <v>0</v>
      </c>
      <c r="G21" s="28">
        <f t="shared" si="0"/>
        <v>4500</v>
      </c>
      <c r="H21" s="79">
        <f>4500</f>
        <v>4500</v>
      </c>
      <c r="I21" s="75" t="s">
        <v>152</v>
      </c>
      <c r="J21" s="81" t="s">
        <v>150</v>
      </c>
      <c r="K21" s="28">
        <f t="shared" si="1"/>
        <v>0</v>
      </c>
      <c r="L21" s="32"/>
      <c r="M21" s="18" t="s">
        <v>25</v>
      </c>
      <c r="N21" s="11" t="s">
        <v>123</v>
      </c>
    </row>
    <row r="22" spans="1:15">
      <c r="A22" s="33">
        <v>12</v>
      </c>
      <c r="B22" s="2" t="s">
        <v>43</v>
      </c>
      <c r="C22" s="25" t="s">
        <v>44</v>
      </c>
      <c r="D22" s="38">
        <v>0</v>
      </c>
      <c r="E22" s="27">
        <v>8000</v>
      </c>
      <c r="F22" s="20">
        <f>MAY!K22</f>
        <v>3000</v>
      </c>
      <c r="G22" s="28">
        <f t="shared" si="0"/>
        <v>11000</v>
      </c>
      <c r="H22" s="79">
        <f>8000</f>
        <v>8000</v>
      </c>
      <c r="I22" s="86">
        <v>3915</v>
      </c>
      <c r="J22" s="81" t="s">
        <v>150</v>
      </c>
      <c r="K22" s="28">
        <f t="shared" si="1"/>
        <v>3000</v>
      </c>
      <c r="L22" s="32"/>
      <c r="M22" s="18" t="s">
        <v>25</v>
      </c>
    </row>
    <row r="23" spans="1:15">
      <c r="A23" s="33">
        <v>13</v>
      </c>
      <c r="B23" s="2" t="s">
        <v>45</v>
      </c>
      <c r="C23" s="25" t="s">
        <v>46</v>
      </c>
      <c r="D23" s="38">
        <v>0</v>
      </c>
      <c r="E23" s="27">
        <v>10000</v>
      </c>
      <c r="F23" s="20">
        <f>MAY!K23</f>
        <v>0</v>
      </c>
      <c r="G23" s="28">
        <f t="shared" si="0"/>
        <v>10000</v>
      </c>
      <c r="H23" s="79">
        <f>10000</f>
        <v>10000</v>
      </c>
      <c r="I23" s="75" t="s">
        <v>158</v>
      </c>
      <c r="J23" s="81" t="s">
        <v>150</v>
      </c>
      <c r="K23" s="28">
        <f t="shared" si="1"/>
        <v>0</v>
      </c>
      <c r="L23" s="32" t="s">
        <v>47</v>
      </c>
      <c r="M23" s="18" t="s">
        <v>25</v>
      </c>
    </row>
    <row r="24" spans="1:15">
      <c r="A24" s="33">
        <v>14</v>
      </c>
      <c r="B24" s="2" t="s">
        <v>48</v>
      </c>
      <c r="C24" s="25"/>
      <c r="D24" s="38"/>
      <c r="E24" s="27"/>
      <c r="F24" s="20">
        <f>MAY!K24</f>
        <v>0</v>
      </c>
      <c r="G24" s="28">
        <f t="shared" si="0"/>
        <v>0</v>
      </c>
      <c r="H24" s="79"/>
      <c r="I24" s="80"/>
      <c r="J24" s="81" t="s">
        <v>150</v>
      </c>
      <c r="K24" s="28">
        <f t="shared" si="1"/>
        <v>0</v>
      </c>
      <c r="L24" s="32"/>
      <c r="M24" s="18" t="s">
        <v>25</v>
      </c>
    </row>
    <row r="25" spans="1:15">
      <c r="A25" s="33">
        <v>15</v>
      </c>
      <c r="B25" s="2" t="s">
        <v>49</v>
      </c>
      <c r="C25" s="25" t="s">
        <v>50</v>
      </c>
      <c r="D25" s="38">
        <v>0</v>
      </c>
      <c r="E25" s="27">
        <v>10000</v>
      </c>
      <c r="F25" s="20">
        <f>MAY!K25</f>
        <v>2000</v>
      </c>
      <c r="G25" s="28">
        <f t="shared" si="0"/>
        <v>12000</v>
      </c>
      <c r="H25" s="82">
        <f>7000+2000</f>
        <v>9000</v>
      </c>
      <c r="I25" s="75" t="s">
        <v>162</v>
      </c>
      <c r="J25" s="81" t="s">
        <v>150</v>
      </c>
      <c r="K25" s="28">
        <f t="shared" si="1"/>
        <v>3000</v>
      </c>
      <c r="L25" s="40"/>
      <c r="M25" s="18" t="s">
        <v>25</v>
      </c>
    </row>
    <row r="26" spans="1:15">
      <c r="A26" s="33">
        <v>16</v>
      </c>
      <c r="B26" s="2" t="s">
        <v>31</v>
      </c>
      <c r="C26" s="25"/>
      <c r="D26" s="38"/>
      <c r="E26" s="27"/>
      <c r="F26" s="20">
        <f>MAY!K26</f>
        <v>0</v>
      </c>
      <c r="G26" s="28">
        <f t="shared" si="0"/>
        <v>0</v>
      </c>
      <c r="H26" s="82"/>
      <c r="I26" s="85"/>
      <c r="J26" s="81" t="s">
        <v>150</v>
      </c>
      <c r="K26" s="28">
        <f t="shared" si="1"/>
        <v>0</v>
      </c>
      <c r="L26" s="40"/>
      <c r="M26" s="41"/>
    </row>
    <row r="27" spans="1:15">
      <c r="A27" s="33">
        <v>17</v>
      </c>
      <c r="B27" s="2" t="s">
        <v>51</v>
      </c>
      <c r="C27" s="25" t="s">
        <v>52</v>
      </c>
      <c r="D27" s="38"/>
      <c r="E27" s="27">
        <v>18000</v>
      </c>
      <c r="F27" s="20">
        <f>MAY!K27</f>
        <v>0</v>
      </c>
      <c r="G27" s="28">
        <f t="shared" si="0"/>
        <v>18000</v>
      </c>
      <c r="H27" s="82">
        <f>18000</f>
        <v>18000</v>
      </c>
      <c r="I27" s="76" t="s">
        <v>157</v>
      </c>
      <c r="J27" s="81" t="s">
        <v>150</v>
      </c>
      <c r="K27" s="28">
        <f t="shared" si="1"/>
        <v>0</v>
      </c>
      <c r="L27" s="40" t="s">
        <v>36</v>
      </c>
      <c r="M27" s="18" t="s">
        <v>25</v>
      </c>
    </row>
    <row r="28" spans="1:15">
      <c r="A28" s="33">
        <v>18</v>
      </c>
      <c r="B28" s="2" t="s">
        <v>99</v>
      </c>
      <c r="C28" s="25"/>
      <c r="D28" s="38"/>
      <c r="E28" s="27">
        <v>9000</v>
      </c>
      <c r="F28" s="20">
        <f>MAY!K28</f>
        <v>0</v>
      </c>
      <c r="G28" s="28">
        <f t="shared" si="0"/>
        <v>9000</v>
      </c>
      <c r="H28" s="82">
        <f>9000</f>
        <v>9000</v>
      </c>
      <c r="I28" s="76" t="s">
        <v>156</v>
      </c>
      <c r="J28" s="81" t="s">
        <v>150</v>
      </c>
      <c r="K28" s="28">
        <f t="shared" si="1"/>
        <v>0</v>
      </c>
      <c r="L28" s="40"/>
      <c r="M28" s="18" t="s">
        <v>25</v>
      </c>
      <c r="N28" s="11" t="s">
        <v>123</v>
      </c>
    </row>
    <row r="29" spans="1:15">
      <c r="A29" s="33">
        <v>19</v>
      </c>
      <c r="B29" s="2" t="s">
        <v>31</v>
      </c>
      <c r="C29" s="25"/>
      <c r="D29" s="38"/>
      <c r="E29" s="27"/>
      <c r="F29" s="20">
        <f>MAY!K29</f>
        <v>0</v>
      </c>
      <c r="G29" s="28">
        <f t="shared" si="0"/>
        <v>0</v>
      </c>
      <c r="H29" s="82"/>
      <c r="I29" s="85"/>
      <c r="J29" s="81" t="s">
        <v>150</v>
      </c>
      <c r="K29" s="28"/>
      <c r="L29" s="40"/>
      <c r="M29" s="41"/>
    </row>
    <row r="30" spans="1:15">
      <c r="A30" s="42" t="s">
        <v>55</v>
      </c>
      <c r="B30" s="33"/>
      <c r="C30" s="43"/>
      <c r="D30" s="34"/>
      <c r="E30" s="44">
        <f>SUM(E11:E29)</f>
        <v>96400</v>
      </c>
      <c r="F30" s="20">
        <f>SUM(F11:F29)</f>
        <v>5600</v>
      </c>
      <c r="G30" s="44">
        <f>SUM(G11:G29)</f>
        <v>102000</v>
      </c>
      <c r="H30" s="44">
        <f>SUM(H11:H29)</f>
        <v>95400</v>
      </c>
      <c r="I30" s="45"/>
      <c r="J30" s="44"/>
      <c r="K30" s="44">
        <f>SUM(K11:K29)</f>
        <v>6600</v>
      </c>
      <c r="L30" s="32"/>
      <c r="M30" s="46"/>
    </row>
    <row r="31" spans="1:15">
      <c r="A31" s="47" t="s">
        <v>56</v>
      </c>
      <c r="B31" s="2"/>
      <c r="C31" s="43"/>
      <c r="D31" s="48"/>
      <c r="E31" s="49"/>
      <c r="F31" s="50"/>
      <c r="G31" s="49"/>
      <c r="H31" s="49"/>
      <c r="I31" s="24"/>
      <c r="J31" s="1"/>
      <c r="K31" s="49"/>
      <c r="L31" s="49"/>
      <c r="M31" s="51"/>
    </row>
    <row r="32" spans="1:15">
      <c r="A32" s="2" t="s">
        <v>57</v>
      </c>
      <c r="B32" s="2"/>
      <c r="C32" s="43"/>
      <c r="D32" s="2"/>
      <c r="E32" s="52"/>
      <c r="F32" s="20"/>
      <c r="G32" s="2"/>
      <c r="H32" s="53">
        <f>10%*H30</f>
        <v>9540</v>
      </c>
      <c r="I32" s="54"/>
      <c r="J32" s="2"/>
      <c r="K32" s="2"/>
      <c r="L32" s="2"/>
      <c r="M32" s="55"/>
    </row>
    <row r="33" spans="1:13">
      <c r="A33" s="2" t="s">
        <v>58</v>
      </c>
      <c r="B33" s="2"/>
      <c r="C33" s="43"/>
      <c r="D33" s="2"/>
      <c r="E33" s="52"/>
      <c r="F33" s="20"/>
      <c r="G33" s="2"/>
      <c r="H33" s="77"/>
      <c r="I33" s="54"/>
      <c r="J33" s="2"/>
      <c r="K33" s="2"/>
      <c r="L33" s="2"/>
      <c r="M33" s="55"/>
    </row>
    <row r="34" spans="1:13">
      <c r="A34" s="15" t="s">
        <v>59</v>
      </c>
      <c r="B34" s="15"/>
      <c r="C34" s="15"/>
      <c r="D34" s="15"/>
      <c r="E34" s="15"/>
      <c r="F34" s="57"/>
      <c r="G34" s="15"/>
      <c r="H34" s="58">
        <f>SUM(H32:H33)</f>
        <v>9540</v>
      </c>
      <c r="I34" s="59"/>
      <c r="J34" s="15"/>
      <c r="K34" s="15" t="s">
        <v>60</v>
      </c>
      <c r="L34" s="15"/>
      <c r="M34" s="60"/>
    </row>
    <row r="35" spans="1:13">
      <c r="A35" s="15" t="s">
        <v>61</v>
      </c>
      <c r="B35" s="15"/>
      <c r="C35" s="15"/>
      <c r="D35" s="15"/>
      <c r="E35" s="15"/>
      <c r="F35" s="57"/>
      <c r="G35" s="15"/>
      <c r="H35" s="58">
        <f>MAY!K37</f>
        <v>5500</v>
      </c>
      <c r="I35" s="59"/>
      <c r="J35" s="15"/>
      <c r="K35" s="15"/>
      <c r="L35" s="15" t="s">
        <v>60</v>
      </c>
      <c r="M35" s="60"/>
    </row>
    <row r="36" spans="1:13">
      <c r="A36" s="2"/>
      <c r="B36" s="2"/>
      <c r="C36" s="2"/>
      <c r="D36" s="2"/>
      <c r="E36" s="2"/>
      <c r="F36" s="20"/>
      <c r="G36" s="2"/>
      <c r="H36" s="53"/>
      <c r="I36" s="62" t="s">
        <v>62</v>
      </c>
      <c r="J36" s="62" t="s">
        <v>62</v>
      </c>
      <c r="K36" s="62" t="s">
        <v>63</v>
      </c>
      <c r="L36" s="62"/>
      <c r="M36" s="55"/>
    </row>
    <row r="37" spans="1:13" ht="16.5" thickBot="1">
      <c r="A37" s="1" t="s">
        <v>64</v>
      </c>
      <c r="B37" s="1"/>
      <c r="C37" s="1"/>
      <c r="D37" s="1"/>
      <c r="E37" s="1"/>
      <c r="F37" s="50"/>
      <c r="G37" s="1"/>
      <c r="H37" s="63">
        <f>H30-H34+H35</f>
        <v>91360</v>
      </c>
      <c r="I37" s="64">
        <v>70000</v>
      </c>
      <c r="J37" s="57">
        <v>21360</v>
      </c>
      <c r="K37" s="65">
        <f>H37-I37-J37</f>
        <v>0</v>
      </c>
      <c r="L37" s="57"/>
      <c r="M37" s="60"/>
    </row>
    <row r="38" spans="1:13" ht="16.5" thickTop="1">
      <c r="A38" s="2" t="s">
        <v>65</v>
      </c>
      <c r="B38" s="2"/>
      <c r="C38" s="2"/>
      <c r="D38" s="2"/>
      <c r="E38" s="2"/>
      <c r="F38" s="20"/>
      <c r="G38" s="2"/>
      <c r="H38" s="2"/>
      <c r="I38" s="54"/>
      <c r="J38" s="2"/>
      <c r="K38" s="66">
        <v>46203</v>
      </c>
      <c r="L38" s="67"/>
      <c r="M38" s="68"/>
    </row>
    <row r="41" spans="1:13">
      <c r="H41" s="11">
        <f>H30/G30*100</f>
        <v>93.529411764705884</v>
      </c>
    </row>
  </sheetData>
  <mergeCells count="1">
    <mergeCell ref="A3:K3"/>
  </mergeCells>
  <pageMargins left="0.25" right="0.25" top="0.75" bottom="0.75" header="0.3" footer="0.3"/>
  <pageSetup scale="6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3382-A341-4755-B459-E31CAA9AE829}">
  <sheetPr>
    <pageSetUpPr fitToPage="1"/>
  </sheetPr>
  <dimension ref="A1:O41"/>
  <sheetViews>
    <sheetView topLeftCell="A23" zoomScaleNormal="100" workbookViewId="0">
      <selection activeCell="J33" sqref="J33"/>
    </sheetView>
  </sheetViews>
  <sheetFormatPr defaultColWidth="9" defaultRowHeight="15.75"/>
  <cols>
    <col min="1" max="1" width="5.85546875" style="11" customWidth="1"/>
    <col min="2" max="2" width="24.7109375" style="11" customWidth="1"/>
    <col min="3" max="3" width="12" style="11" customWidth="1"/>
    <col min="4" max="4" width="10.28515625" style="11" customWidth="1"/>
    <col min="5" max="5" width="9.5703125" style="11" customWidth="1"/>
    <col min="6" max="6" width="9" style="11" customWidth="1"/>
    <col min="7" max="7" width="10.28515625" style="11" customWidth="1"/>
    <col min="8" max="8" width="11" style="11" customWidth="1"/>
    <col min="9" max="9" width="25.5703125" style="71" customWidth="1"/>
    <col min="10" max="10" width="14.42578125" style="11" customWidth="1"/>
    <col min="11" max="11" width="13.5703125" style="11" customWidth="1"/>
    <col min="12" max="12" width="26.28515625" style="11" customWidth="1"/>
    <col min="13" max="13" width="16.140625" style="11" customWidth="1"/>
    <col min="14" max="16384" width="9" style="11"/>
  </cols>
  <sheetData>
    <row r="1" spans="1:14">
      <c r="A1" s="1"/>
      <c r="B1" s="2"/>
      <c r="C1" s="3" t="s">
        <v>0</v>
      </c>
      <c r="D1" s="4"/>
      <c r="E1" s="2"/>
      <c r="F1" s="5"/>
      <c r="G1" s="6"/>
      <c r="H1" s="6"/>
      <c r="I1" s="7"/>
      <c r="J1" s="8"/>
      <c r="K1" s="9"/>
      <c r="L1" s="9"/>
      <c r="M1" s="10"/>
    </row>
    <row r="2" spans="1:14">
      <c r="A2" s="1" t="s">
        <v>1</v>
      </c>
      <c r="B2" s="1"/>
      <c r="C2" s="1"/>
      <c r="D2" s="1"/>
      <c r="E2" s="6"/>
      <c r="F2" s="5"/>
      <c r="G2" s="6"/>
      <c r="H2" s="6"/>
      <c r="I2" s="7"/>
      <c r="J2" s="8"/>
      <c r="K2" s="9"/>
      <c r="L2" s="9"/>
      <c r="M2" s="10"/>
    </row>
    <row r="3" spans="1:14">
      <c r="A3" s="88" t="s">
        <v>165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1"/>
      <c r="M3" s="12"/>
    </row>
    <row r="4" spans="1:14">
      <c r="A4" s="1"/>
      <c r="B4" s="1"/>
      <c r="C4" s="1"/>
      <c r="D4" s="6"/>
      <c r="E4" s="6"/>
      <c r="F4" s="5"/>
      <c r="G4" s="6"/>
      <c r="H4" s="6"/>
      <c r="I4" s="7" t="s">
        <v>2</v>
      </c>
      <c r="J4" s="8"/>
      <c r="K4" s="13"/>
      <c r="L4" s="13"/>
      <c r="M4" s="14"/>
    </row>
    <row r="5" spans="1:14">
      <c r="A5" s="15" t="s">
        <v>3</v>
      </c>
      <c r="B5" s="15"/>
      <c r="C5" s="15"/>
      <c r="D5" s="13"/>
      <c r="E5" s="13"/>
      <c r="F5" s="16"/>
      <c r="G5" s="13"/>
      <c r="H5" s="13"/>
      <c r="I5" s="17" t="s">
        <v>4</v>
      </c>
      <c r="J5" s="18"/>
      <c r="K5" s="13"/>
      <c r="L5" s="13"/>
      <c r="M5" s="14"/>
    </row>
    <row r="6" spans="1:14">
      <c r="A6" s="19" t="s">
        <v>5</v>
      </c>
      <c r="B6" s="2"/>
      <c r="C6" s="15"/>
      <c r="D6" s="13"/>
      <c r="E6" s="13"/>
      <c r="F6" s="16"/>
      <c r="G6" s="13"/>
      <c r="H6" s="13"/>
      <c r="I6" s="17"/>
      <c r="J6" s="18"/>
      <c r="K6" s="13"/>
      <c r="L6" s="13"/>
      <c r="M6" s="14"/>
    </row>
    <row r="7" spans="1:14">
      <c r="A7" s="15" t="s">
        <v>6</v>
      </c>
      <c r="B7" s="15"/>
      <c r="C7" s="15"/>
      <c r="D7" s="2"/>
      <c r="E7" s="2"/>
      <c r="F7" s="20"/>
      <c r="G7" s="2"/>
      <c r="H7" s="13"/>
      <c r="I7" s="17"/>
      <c r="J7" s="18"/>
      <c r="K7" s="13"/>
      <c r="L7" s="13"/>
      <c r="M7" s="14"/>
    </row>
    <row r="8" spans="1:14">
      <c r="A8" s="15"/>
      <c r="B8" s="15"/>
      <c r="C8" s="15"/>
      <c r="D8" s="2"/>
      <c r="E8" s="2"/>
      <c r="F8" s="20"/>
      <c r="G8" s="2"/>
      <c r="H8" s="13" t="s">
        <v>7</v>
      </c>
      <c r="I8" s="17" t="s">
        <v>8</v>
      </c>
      <c r="J8" s="18"/>
      <c r="K8" s="13"/>
      <c r="L8" s="13"/>
      <c r="M8" s="14"/>
    </row>
    <row r="9" spans="1:14">
      <c r="A9" s="15"/>
      <c r="B9" s="15"/>
      <c r="C9" s="15"/>
      <c r="D9" s="2"/>
      <c r="E9" s="2"/>
      <c r="F9" s="20"/>
      <c r="G9" s="2"/>
      <c r="H9" s="13" t="s">
        <v>9</v>
      </c>
      <c r="I9" s="17"/>
      <c r="J9" s="18"/>
      <c r="K9" s="13"/>
      <c r="L9" s="13"/>
      <c r="M9" s="14"/>
    </row>
    <row r="10" spans="1:14" ht="35.25" customHeight="1">
      <c r="A10" s="1" t="s">
        <v>10</v>
      </c>
      <c r="B10" s="1" t="s">
        <v>11</v>
      </c>
      <c r="C10" s="1" t="s">
        <v>12</v>
      </c>
      <c r="D10" s="21" t="s">
        <v>13</v>
      </c>
      <c r="E10" s="22" t="s">
        <v>14</v>
      </c>
      <c r="F10" s="5" t="s">
        <v>15</v>
      </c>
      <c r="G10" s="23" t="s">
        <v>16</v>
      </c>
      <c r="H10" s="6" t="s">
        <v>17</v>
      </c>
      <c r="I10" s="24" t="s">
        <v>18</v>
      </c>
      <c r="J10" s="1" t="s">
        <v>19</v>
      </c>
      <c r="K10" s="6" t="s">
        <v>20</v>
      </c>
      <c r="L10" s="22" t="s">
        <v>21</v>
      </c>
      <c r="M10" s="6" t="s">
        <v>22</v>
      </c>
    </row>
    <row r="11" spans="1:14">
      <c r="A11" s="2">
        <v>1</v>
      </c>
      <c r="B11" s="2" t="s">
        <v>170</v>
      </c>
      <c r="C11" s="25"/>
      <c r="D11" s="26"/>
      <c r="E11" s="27">
        <v>5000</v>
      </c>
      <c r="F11" s="20">
        <f>JUNE!K11</f>
        <v>0</v>
      </c>
      <c r="G11" s="28">
        <f>D11+E11+F11</f>
        <v>5000</v>
      </c>
      <c r="H11" s="79">
        <f>5000</f>
        <v>5000</v>
      </c>
      <c r="I11" s="75" t="s">
        <v>171</v>
      </c>
      <c r="J11" s="81" t="s">
        <v>164</v>
      </c>
      <c r="K11" s="28">
        <f>G11-H11</f>
        <v>0</v>
      </c>
      <c r="L11" s="32"/>
      <c r="M11" s="18" t="s">
        <v>25</v>
      </c>
    </row>
    <row r="12" spans="1:14">
      <c r="A12" s="33">
        <v>2</v>
      </c>
      <c r="B12" s="2" t="s">
        <v>26</v>
      </c>
      <c r="C12" s="25" t="s">
        <v>27</v>
      </c>
      <c r="D12" s="28">
        <v>0</v>
      </c>
      <c r="E12" s="27">
        <v>4000</v>
      </c>
      <c r="F12" s="20">
        <f>JUNE!K12</f>
        <v>0</v>
      </c>
      <c r="G12" s="28">
        <f t="shared" ref="G12:G29" si="0">D12+E12+F12</f>
        <v>4000</v>
      </c>
      <c r="H12" s="79"/>
      <c r="I12" s="80"/>
      <c r="J12" s="81" t="s">
        <v>164</v>
      </c>
      <c r="K12" s="28">
        <f t="shared" ref="K12:K29" si="1">G12-H12</f>
        <v>4000</v>
      </c>
      <c r="L12" s="32" t="s">
        <v>183</v>
      </c>
      <c r="M12" s="18" t="s">
        <v>25</v>
      </c>
      <c r="N12" s="11" t="s">
        <v>123</v>
      </c>
    </row>
    <row r="13" spans="1:14">
      <c r="A13" s="2">
        <v>3</v>
      </c>
      <c r="B13" s="2" t="s">
        <v>31</v>
      </c>
      <c r="C13" s="25"/>
      <c r="D13" s="34">
        <v>0</v>
      </c>
      <c r="E13" s="27"/>
      <c r="F13" s="20">
        <f>JUNE!K13</f>
        <v>0</v>
      </c>
      <c r="G13" s="28">
        <f t="shared" si="0"/>
        <v>0</v>
      </c>
      <c r="H13" s="82"/>
      <c r="I13" s="80"/>
      <c r="J13" s="81" t="s">
        <v>164</v>
      </c>
      <c r="K13" s="28">
        <f t="shared" si="1"/>
        <v>0</v>
      </c>
      <c r="L13" s="32"/>
      <c r="M13" s="18" t="s">
        <v>25</v>
      </c>
    </row>
    <row r="14" spans="1:14">
      <c r="A14" s="2">
        <v>4</v>
      </c>
      <c r="B14" s="2" t="s">
        <v>77</v>
      </c>
      <c r="C14" s="25" t="s">
        <v>30</v>
      </c>
      <c r="D14" s="34"/>
      <c r="E14" s="27">
        <v>6000</v>
      </c>
      <c r="F14" s="20">
        <f>JUNE!K14</f>
        <v>0</v>
      </c>
      <c r="G14" s="28">
        <f t="shared" si="0"/>
        <v>6000</v>
      </c>
      <c r="H14" s="79">
        <f>6000</f>
        <v>6000</v>
      </c>
      <c r="I14" s="75" t="s">
        <v>175</v>
      </c>
      <c r="J14" s="81" t="s">
        <v>164</v>
      </c>
      <c r="K14" s="28">
        <f t="shared" si="1"/>
        <v>0</v>
      </c>
      <c r="L14" s="32"/>
      <c r="M14" s="18"/>
      <c r="N14" s="11" t="s">
        <v>123</v>
      </c>
    </row>
    <row r="15" spans="1:14">
      <c r="A15" s="2">
        <v>5</v>
      </c>
      <c r="B15" s="2" t="s">
        <v>89</v>
      </c>
      <c r="C15" s="25" t="s">
        <v>75</v>
      </c>
      <c r="D15" s="34"/>
      <c r="E15" s="27">
        <v>6500</v>
      </c>
      <c r="F15" s="20">
        <f>JUNE!K15</f>
        <v>0</v>
      </c>
      <c r="G15" s="28">
        <f t="shared" si="0"/>
        <v>6500</v>
      </c>
      <c r="H15" s="79">
        <f>6000</f>
        <v>6000</v>
      </c>
      <c r="I15" s="75" t="s">
        <v>166</v>
      </c>
      <c r="J15" s="81" t="s">
        <v>164</v>
      </c>
      <c r="K15" s="28">
        <f t="shared" si="1"/>
        <v>500</v>
      </c>
      <c r="L15" s="32"/>
      <c r="M15" s="18"/>
      <c r="N15" s="11" t="s">
        <v>123</v>
      </c>
    </row>
    <row r="16" spans="1:14">
      <c r="A16" s="2">
        <v>6</v>
      </c>
      <c r="B16" s="2" t="s">
        <v>32</v>
      </c>
      <c r="C16" s="25" t="s">
        <v>33</v>
      </c>
      <c r="D16" s="34">
        <v>0</v>
      </c>
      <c r="E16" s="27">
        <v>6500</v>
      </c>
      <c r="F16" s="20">
        <f>JUNE!K16</f>
        <v>100</v>
      </c>
      <c r="G16" s="28">
        <f t="shared" si="0"/>
        <v>6600</v>
      </c>
      <c r="H16" s="79">
        <f>6500</f>
        <v>6500</v>
      </c>
      <c r="I16" s="75" t="s">
        <v>174</v>
      </c>
      <c r="J16" s="81" t="s">
        <v>164</v>
      </c>
      <c r="K16" s="28">
        <f t="shared" si="1"/>
        <v>100</v>
      </c>
      <c r="L16" s="32"/>
      <c r="M16" s="18" t="s">
        <v>25</v>
      </c>
      <c r="N16" s="11" t="s">
        <v>123</v>
      </c>
    </row>
    <row r="17" spans="1:15">
      <c r="A17" s="33">
        <v>7</v>
      </c>
      <c r="B17" s="2" t="s">
        <v>110</v>
      </c>
      <c r="C17" s="25"/>
      <c r="D17" s="34"/>
      <c r="E17" s="27">
        <v>5500</v>
      </c>
      <c r="F17" s="20">
        <f>JUNE!K17</f>
        <v>500</v>
      </c>
      <c r="G17" s="28">
        <f t="shared" si="0"/>
        <v>6000</v>
      </c>
      <c r="H17" s="79">
        <f>5500</f>
        <v>5500</v>
      </c>
      <c r="I17" s="75" t="s">
        <v>180</v>
      </c>
      <c r="J17" s="81" t="s">
        <v>164</v>
      </c>
      <c r="K17" s="28">
        <f t="shared" si="1"/>
        <v>500</v>
      </c>
      <c r="L17" s="32"/>
      <c r="M17" s="18" t="s">
        <v>25</v>
      </c>
      <c r="O17" s="36"/>
    </row>
    <row r="18" spans="1:15">
      <c r="A18" s="2">
        <v>8</v>
      </c>
      <c r="B18" s="2" t="s">
        <v>34</v>
      </c>
      <c r="C18" s="25" t="s">
        <v>35</v>
      </c>
      <c r="D18" s="34">
        <v>0</v>
      </c>
      <c r="E18" s="27">
        <v>5000</v>
      </c>
      <c r="F18" s="20">
        <f>JUNE!K18</f>
        <v>0</v>
      </c>
      <c r="G18" s="28">
        <f t="shared" si="0"/>
        <v>5000</v>
      </c>
      <c r="H18" s="79">
        <f>5000</f>
        <v>5000</v>
      </c>
      <c r="I18" s="75" t="s">
        <v>178</v>
      </c>
      <c r="J18" s="81" t="s">
        <v>164</v>
      </c>
      <c r="K18" s="28">
        <f t="shared" si="1"/>
        <v>0</v>
      </c>
      <c r="L18" s="32" t="s">
        <v>36</v>
      </c>
      <c r="M18" s="18" t="s">
        <v>25</v>
      </c>
    </row>
    <row r="19" spans="1:15">
      <c r="A19" s="33">
        <v>9</v>
      </c>
      <c r="B19" s="2" t="s">
        <v>37</v>
      </c>
      <c r="C19" s="25" t="s">
        <v>38</v>
      </c>
      <c r="D19" s="34"/>
      <c r="E19" s="27">
        <v>5000</v>
      </c>
      <c r="F19" s="20">
        <f>JUNE!K19</f>
        <v>0</v>
      </c>
      <c r="G19" s="28">
        <f t="shared" si="0"/>
        <v>5000</v>
      </c>
      <c r="H19" s="79">
        <v>5000</v>
      </c>
      <c r="I19" s="80" t="s">
        <v>58</v>
      </c>
      <c r="J19" s="81" t="s">
        <v>164</v>
      </c>
      <c r="K19" s="28">
        <f t="shared" si="1"/>
        <v>0</v>
      </c>
      <c r="L19" s="32"/>
      <c r="M19" s="18"/>
    </row>
    <row r="20" spans="1:15">
      <c r="A20" s="33">
        <v>10</v>
      </c>
      <c r="B20" s="2" t="s">
        <v>39</v>
      </c>
      <c r="C20" s="25" t="s">
        <v>40</v>
      </c>
      <c r="D20" s="38">
        <v>0</v>
      </c>
      <c r="E20" s="27">
        <v>3400</v>
      </c>
      <c r="F20" s="20">
        <f>JUNE!K20</f>
        <v>0</v>
      </c>
      <c r="G20" s="28">
        <f t="shared" si="0"/>
        <v>3400</v>
      </c>
      <c r="H20" s="79">
        <f>3400</f>
        <v>3400</v>
      </c>
      <c r="I20" s="75" t="s">
        <v>167</v>
      </c>
      <c r="J20" s="81" t="s">
        <v>164</v>
      </c>
      <c r="K20" s="28">
        <f t="shared" si="1"/>
        <v>0</v>
      </c>
      <c r="L20" s="32"/>
      <c r="M20" s="18" t="s">
        <v>25</v>
      </c>
      <c r="N20" s="11" t="s">
        <v>123</v>
      </c>
    </row>
    <row r="21" spans="1:15">
      <c r="A21" s="33">
        <v>11</v>
      </c>
      <c r="B21" s="2" t="s">
        <v>41</v>
      </c>
      <c r="C21" s="25" t="s">
        <v>42</v>
      </c>
      <c r="D21" s="38">
        <v>0</v>
      </c>
      <c r="E21" s="27">
        <v>4500</v>
      </c>
      <c r="F21" s="20">
        <f>JUNE!K21</f>
        <v>0</v>
      </c>
      <c r="G21" s="28">
        <f t="shared" si="0"/>
        <v>4500</v>
      </c>
      <c r="H21" s="79">
        <f>4500</f>
        <v>4500</v>
      </c>
      <c r="I21" s="75" t="s">
        <v>168</v>
      </c>
      <c r="J21" s="81" t="s">
        <v>164</v>
      </c>
      <c r="K21" s="28">
        <f t="shared" si="1"/>
        <v>0</v>
      </c>
      <c r="L21" s="32"/>
      <c r="M21" s="18" t="s">
        <v>25</v>
      </c>
      <c r="N21" s="11" t="s">
        <v>123</v>
      </c>
    </row>
    <row r="22" spans="1:15">
      <c r="A22" s="33">
        <v>12</v>
      </c>
      <c r="B22" s="2" t="s">
        <v>43</v>
      </c>
      <c r="C22" s="25" t="s">
        <v>182</v>
      </c>
      <c r="D22" s="38">
        <v>0</v>
      </c>
      <c r="E22" s="27">
        <v>8000</v>
      </c>
      <c r="F22" s="20">
        <f>JUNE!K22</f>
        <v>3000</v>
      </c>
      <c r="G22" s="28">
        <f t="shared" si="0"/>
        <v>11000</v>
      </c>
      <c r="H22" s="79">
        <f>8000</f>
        <v>8000</v>
      </c>
      <c r="I22" s="86" t="s">
        <v>169</v>
      </c>
      <c r="J22" s="81" t="s">
        <v>164</v>
      </c>
      <c r="K22" s="28">
        <f t="shared" si="1"/>
        <v>3000</v>
      </c>
      <c r="L22" s="32" t="s">
        <v>184</v>
      </c>
      <c r="M22" s="18" t="s">
        <v>25</v>
      </c>
    </row>
    <row r="23" spans="1:15">
      <c r="A23" s="33">
        <v>13</v>
      </c>
      <c r="B23" s="2" t="s">
        <v>45</v>
      </c>
      <c r="C23" s="25" t="s">
        <v>46</v>
      </c>
      <c r="D23" s="38">
        <v>0</v>
      </c>
      <c r="E23" s="27">
        <v>10000</v>
      </c>
      <c r="F23" s="20">
        <f>JUNE!K23</f>
        <v>0</v>
      </c>
      <c r="G23" s="28">
        <f t="shared" si="0"/>
        <v>10000</v>
      </c>
      <c r="H23" s="79">
        <f>10000</f>
        <v>10000</v>
      </c>
      <c r="I23" s="75" t="s">
        <v>179</v>
      </c>
      <c r="J23" s="81" t="s">
        <v>164</v>
      </c>
      <c r="K23" s="28">
        <f t="shared" si="1"/>
        <v>0</v>
      </c>
      <c r="L23" s="32" t="s">
        <v>47</v>
      </c>
      <c r="M23" s="18" t="s">
        <v>25</v>
      </c>
    </row>
    <row r="24" spans="1:15">
      <c r="A24" s="33">
        <v>14</v>
      </c>
      <c r="B24" s="2" t="s">
        <v>176</v>
      </c>
      <c r="C24" s="25" t="s">
        <v>177</v>
      </c>
      <c r="D24" s="38"/>
      <c r="E24" s="27">
        <v>4500</v>
      </c>
      <c r="F24" s="20">
        <f>JUNE!K24</f>
        <v>0</v>
      </c>
      <c r="G24" s="28">
        <f t="shared" si="0"/>
        <v>4500</v>
      </c>
      <c r="H24" s="79">
        <f>4500</f>
        <v>4500</v>
      </c>
      <c r="I24" s="80" t="s">
        <v>58</v>
      </c>
      <c r="J24" s="81" t="s">
        <v>164</v>
      </c>
      <c r="K24" s="28">
        <f t="shared" si="1"/>
        <v>0</v>
      </c>
      <c r="L24" s="32"/>
      <c r="M24" s="18" t="s">
        <v>25</v>
      </c>
    </row>
    <row r="25" spans="1:15" ht="23.25">
      <c r="A25" s="33">
        <v>15</v>
      </c>
      <c r="B25" s="2" t="s">
        <v>49</v>
      </c>
      <c r="C25" s="25" t="s">
        <v>50</v>
      </c>
      <c r="D25" s="38">
        <v>0</v>
      </c>
      <c r="E25" s="27">
        <v>10000</v>
      </c>
      <c r="F25" s="20">
        <f>JUNE!K25</f>
        <v>3000</v>
      </c>
      <c r="G25" s="28">
        <f t="shared" si="0"/>
        <v>13000</v>
      </c>
      <c r="H25" s="82">
        <f>1500+5000+2500</f>
        <v>9000</v>
      </c>
      <c r="I25" s="75" t="s">
        <v>181</v>
      </c>
      <c r="J25" s="81" t="s">
        <v>164</v>
      </c>
      <c r="K25" s="28">
        <f t="shared" si="1"/>
        <v>4000</v>
      </c>
      <c r="L25" s="40" t="s">
        <v>184</v>
      </c>
      <c r="M25" s="18" t="s">
        <v>25</v>
      </c>
    </row>
    <row r="26" spans="1:15">
      <c r="A26" s="33">
        <v>16</v>
      </c>
      <c r="B26" s="2" t="s">
        <v>112</v>
      </c>
      <c r="C26" s="25"/>
      <c r="D26" s="38"/>
      <c r="E26" s="27">
        <v>8000</v>
      </c>
      <c r="F26" s="20">
        <f>JUNE!K26</f>
        <v>0</v>
      </c>
      <c r="G26" s="28">
        <f t="shared" si="0"/>
        <v>8000</v>
      </c>
      <c r="H26" s="82">
        <f>8000</f>
        <v>8000</v>
      </c>
      <c r="I26" s="85" t="s">
        <v>58</v>
      </c>
      <c r="J26" s="81" t="s">
        <v>164</v>
      </c>
      <c r="K26" s="28">
        <f t="shared" si="1"/>
        <v>0</v>
      </c>
      <c r="L26" s="40"/>
      <c r="M26" s="41"/>
    </row>
    <row r="27" spans="1:15">
      <c r="A27" s="33">
        <v>17</v>
      </c>
      <c r="B27" s="2" t="s">
        <v>51</v>
      </c>
      <c r="C27" s="25" t="s">
        <v>52</v>
      </c>
      <c r="D27" s="38"/>
      <c r="E27" s="27">
        <v>18000</v>
      </c>
      <c r="F27" s="20">
        <f>JUNE!K27</f>
        <v>0</v>
      </c>
      <c r="G27" s="28">
        <f t="shared" si="0"/>
        <v>18000</v>
      </c>
      <c r="H27" s="82">
        <f>18000</f>
        <v>18000</v>
      </c>
      <c r="I27" s="76" t="s">
        <v>173</v>
      </c>
      <c r="J27" s="81" t="s">
        <v>164</v>
      </c>
      <c r="K27" s="28">
        <f t="shared" si="1"/>
        <v>0</v>
      </c>
      <c r="L27" s="40" t="s">
        <v>36</v>
      </c>
      <c r="M27" s="18" t="s">
        <v>25</v>
      </c>
    </row>
    <row r="28" spans="1:15">
      <c r="A28" s="33">
        <v>18</v>
      </c>
      <c r="B28" s="2" t="s">
        <v>99</v>
      </c>
      <c r="C28" s="25"/>
      <c r="D28" s="38"/>
      <c r="E28" s="27">
        <v>9000</v>
      </c>
      <c r="F28" s="20">
        <f>JUNE!K28</f>
        <v>0</v>
      </c>
      <c r="G28" s="28">
        <f t="shared" si="0"/>
        <v>9000</v>
      </c>
      <c r="H28" s="82">
        <f>9000</f>
        <v>9000</v>
      </c>
      <c r="I28" s="76" t="s">
        <v>172</v>
      </c>
      <c r="J28" s="81" t="s">
        <v>164</v>
      </c>
      <c r="K28" s="28">
        <f t="shared" si="1"/>
        <v>0</v>
      </c>
      <c r="L28" s="40"/>
      <c r="M28" s="18" t="s">
        <v>25</v>
      </c>
      <c r="N28" s="11" t="s">
        <v>123</v>
      </c>
    </row>
    <row r="29" spans="1:15">
      <c r="A29" s="33">
        <v>19</v>
      </c>
      <c r="B29" s="2" t="s">
        <v>112</v>
      </c>
      <c r="C29" s="25"/>
      <c r="D29" s="38"/>
      <c r="E29" s="27">
        <v>10000</v>
      </c>
      <c r="F29" s="20">
        <f>JUNE!K29</f>
        <v>0</v>
      </c>
      <c r="G29" s="28">
        <f t="shared" si="0"/>
        <v>10000</v>
      </c>
      <c r="H29" s="82">
        <f>10000</f>
        <v>10000</v>
      </c>
      <c r="I29" s="85" t="s">
        <v>58</v>
      </c>
      <c r="J29" s="81" t="s">
        <v>164</v>
      </c>
      <c r="K29" s="28">
        <f t="shared" si="1"/>
        <v>0</v>
      </c>
      <c r="L29" s="40"/>
      <c r="M29" s="41"/>
    </row>
    <row r="30" spans="1:15">
      <c r="A30" s="42" t="s">
        <v>55</v>
      </c>
      <c r="B30" s="33"/>
      <c r="C30" s="43"/>
      <c r="D30" s="34"/>
      <c r="E30" s="44">
        <f>SUM(E11:E29)</f>
        <v>128900</v>
      </c>
      <c r="F30" s="20">
        <f>SUM(F11:F29)</f>
        <v>6600</v>
      </c>
      <c r="G30" s="44">
        <f>SUM(G11:G29)</f>
        <v>135500</v>
      </c>
      <c r="H30" s="44">
        <f>SUM(H11:H29)</f>
        <v>123400</v>
      </c>
      <c r="I30" s="45"/>
      <c r="J30" s="44"/>
      <c r="K30" s="44">
        <f>SUM(K11:K29)</f>
        <v>12100</v>
      </c>
      <c r="L30" s="32"/>
      <c r="M30" s="46"/>
    </row>
    <row r="31" spans="1:15">
      <c r="A31" s="47" t="s">
        <v>56</v>
      </c>
      <c r="B31" s="2"/>
      <c r="C31" s="43"/>
      <c r="D31" s="48"/>
      <c r="E31" s="49"/>
      <c r="F31" s="50"/>
      <c r="G31" s="49"/>
      <c r="H31" s="49"/>
      <c r="I31" s="24"/>
      <c r="J31" s="1"/>
      <c r="K31" s="49"/>
      <c r="L31" s="49"/>
      <c r="M31" s="51"/>
    </row>
    <row r="32" spans="1:15">
      <c r="A32" s="2" t="s">
        <v>57</v>
      </c>
      <c r="B32" s="2"/>
      <c r="C32" s="43"/>
      <c r="D32" s="2"/>
      <c r="E32" s="52"/>
      <c r="F32" s="20"/>
      <c r="G32" s="2"/>
      <c r="H32" s="53">
        <f>10%*H30</f>
        <v>12340</v>
      </c>
      <c r="I32" s="54"/>
      <c r="J32" s="2"/>
      <c r="K32" s="2"/>
      <c r="L32" s="2"/>
      <c r="M32" s="55"/>
    </row>
    <row r="33" spans="1:13">
      <c r="A33" s="2" t="s">
        <v>58</v>
      </c>
      <c r="B33" s="2"/>
      <c r="C33" s="43"/>
      <c r="D33" s="2"/>
      <c r="E33" s="52"/>
      <c r="F33" s="20"/>
      <c r="G33" s="2"/>
      <c r="H33" s="77">
        <f>H29+H26+H24+H19</f>
        <v>27500</v>
      </c>
      <c r="I33" s="54"/>
      <c r="J33" s="2"/>
      <c r="K33" s="2"/>
      <c r="L33" s="2"/>
      <c r="M33" s="55"/>
    </row>
    <row r="34" spans="1:13">
      <c r="A34" s="15" t="s">
        <v>59</v>
      </c>
      <c r="B34" s="15"/>
      <c r="C34" s="15"/>
      <c r="D34" s="15"/>
      <c r="E34" s="15"/>
      <c r="F34" s="57"/>
      <c r="G34" s="15"/>
      <c r="H34" s="58">
        <f>SUM(H32:H33)</f>
        <v>39840</v>
      </c>
      <c r="I34" s="59"/>
      <c r="J34" s="15"/>
      <c r="K34" s="15" t="s">
        <v>60</v>
      </c>
      <c r="L34" s="15"/>
      <c r="M34" s="60"/>
    </row>
    <row r="35" spans="1:13">
      <c r="A35" s="15" t="s">
        <v>61</v>
      </c>
      <c r="B35" s="15"/>
      <c r="C35" s="15"/>
      <c r="D35" s="15"/>
      <c r="E35" s="15"/>
      <c r="F35" s="57"/>
      <c r="G35" s="15"/>
      <c r="H35" s="58">
        <f>JUNE!K37</f>
        <v>0</v>
      </c>
      <c r="I35" s="59"/>
      <c r="J35" s="15"/>
      <c r="K35" s="15"/>
      <c r="L35" s="15" t="s">
        <v>60</v>
      </c>
      <c r="M35" s="60"/>
    </row>
    <row r="36" spans="1:13">
      <c r="A36" s="2"/>
      <c r="B36" s="2"/>
      <c r="C36" s="2"/>
      <c r="D36" s="2"/>
      <c r="E36" s="2"/>
      <c r="F36" s="20"/>
      <c r="G36" s="2"/>
      <c r="H36" s="53"/>
      <c r="I36" s="62" t="s">
        <v>62</v>
      </c>
      <c r="J36" s="62" t="s">
        <v>62</v>
      </c>
      <c r="K36" s="62" t="s">
        <v>63</v>
      </c>
      <c r="L36" s="62"/>
      <c r="M36" s="55"/>
    </row>
    <row r="37" spans="1:13" ht="16.5" thickBot="1">
      <c r="A37" s="1" t="s">
        <v>64</v>
      </c>
      <c r="B37" s="1"/>
      <c r="C37" s="1"/>
      <c r="D37" s="1"/>
      <c r="E37" s="1"/>
      <c r="F37" s="50"/>
      <c r="G37" s="1"/>
      <c r="H37" s="63">
        <f>H30-H34+H35</f>
        <v>83560</v>
      </c>
      <c r="I37" s="64">
        <v>70000</v>
      </c>
      <c r="J37" s="57">
        <v>13560</v>
      </c>
      <c r="K37" s="65">
        <f>H37-I37-J37</f>
        <v>0</v>
      </c>
      <c r="L37" s="57"/>
      <c r="M37" s="60"/>
    </row>
    <row r="38" spans="1:13" ht="16.5" thickTop="1">
      <c r="A38" s="2" t="s">
        <v>65</v>
      </c>
      <c r="B38" s="2"/>
      <c r="C38" s="2"/>
      <c r="D38" s="2"/>
      <c r="E38" s="2"/>
      <c r="F38" s="20"/>
      <c r="G38" s="2"/>
      <c r="H38" s="2"/>
      <c r="I38" s="54"/>
      <c r="J38" s="2"/>
      <c r="K38" s="66">
        <v>46234</v>
      </c>
      <c r="L38" s="67"/>
      <c r="M38" s="68"/>
    </row>
    <row r="41" spans="1:13">
      <c r="H41" s="11">
        <f>H30/G30*100</f>
        <v>91.070110701107012</v>
      </c>
    </row>
  </sheetData>
  <mergeCells count="1">
    <mergeCell ref="A3:K3"/>
  </mergeCells>
  <pageMargins left="0.25" right="0.25" top="0.75" bottom="0.75" header="0.3" footer="0.3"/>
  <pageSetup scale="6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4F29D-7C05-496E-ACA0-0A878C4FA4BF}">
  <sheetPr>
    <pageSetUpPr fitToPage="1"/>
  </sheetPr>
  <dimension ref="A1:O43"/>
  <sheetViews>
    <sheetView tabSelected="1" topLeftCell="A4" zoomScaleNormal="100" workbookViewId="0">
      <selection activeCell="D16" sqref="D16"/>
    </sheetView>
  </sheetViews>
  <sheetFormatPr defaultColWidth="9" defaultRowHeight="15.75"/>
  <cols>
    <col min="1" max="1" width="5.85546875" style="11" customWidth="1"/>
    <col min="2" max="2" width="24.7109375" style="11" customWidth="1"/>
    <col min="3" max="3" width="12" style="11" customWidth="1"/>
    <col min="4" max="4" width="10.28515625" style="11" customWidth="1"/>
    <col min="5" max="5" width="9.5703125" style="11" customWidth="1"/>
    <col min="6" max="6" width="9" style="11" customWidth="1"/>
    <col min="7" max="7" width="10.28515625" style="11" customWidth="1"/>
    <col min="8" max="8" width="11" style="11" customWidth="1"/>
    <col min="9" max="9" width="25.5703125" style="71" customWidth="1"/>
    <col min="10" max="10" width="14.42578125" style="11" customWidth="1"/>
    <col min="11" max="11" width="13.5703125" style="11" customWidth="1"/>
    <col min="12" max="12" width="26.28515625" style="11" customWidth="1"/>
    <col min="13" max="13" width="16.140625" style="11" customWidth="1"/>
    <col min="14" max="16384" width="9" style="11"/>
  </cols>
  <sheetData>
    <row r="1" spans="1:14">
      <c r="A1" s="1"/>
      <c r="B1" s="2"/>
      <c r="C1" s="3" t="s">
        <v>0</v>
      </c>
      <c r="D1" s="4"/>
      <c r="E1" s="2"/>
      <c r="F1" s="5"/>
      <c r="G1" s="6"/>
      <c r="H1" s="6"/>
      <c r="I1" s="7"/>
      <c r="J1" s="8"/>
      <c r="K1" s="9"/>
      <c r="L1" s="9"/>
      <c r="M1" s="10"/>
    </row>
    <row r="2" spans="1:14">
      <c r="A2" s="1" t="s">
        <v>1</v>
      </c>
      <c r="B2" s="1"/>
      <c r="C2" s="1"/>
      <c r="D2" s="1"/>
      <c r="E2" s="6"/>
      <c r="F2" s="5"/>
      <c r="G2" s="6"/>
      <c r="H2" s="6"/>
      <c r="I2" s="7"/>
      <c r="J2" s="8"/>
      <c r="K2" s="9"/>
      <c r="L2" s="9"/>
      <c r="M2" s="10"/>
    </row>
    <row r="3" spans="1:14">
      <c r="A3" s="88" t="s">
        <v>186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1"/>
      <c r="M3" s="12"/>
    </row>
    <row r="4" spans="1:14">
      <c r="A4" s="1"/>
      <c r="B4" s="1"/>
      <c r="C4" s="1"/>
      <c r="D4" s="6"/>
      <c r="E4" s="6"/>
      <c r="F4" s="5"/>
      <c r="G4" s="6"/>
      <c r="H4" s="6"/>
      <c r="I4" s="7" t="s">
        <v>2</v>
      </c>
      <c r="J4" s="8"/>
      <c r="K4" s="13"/>
      <c r="L4" s="13"/>
      <c r="M4" s="14"/>
    </row>
    <row r="5" spans="1:14">
      <c r="A5" s="15" t="s">
        <v>3</v>
      </c>
      <c r="B5" s="15"/>
      <c r="C5" s="15"/>
      <c r="D5" s="13"/>
      <c r="E5" s="13"/>
      <c r="F5" s="16"/>
      <c r="G5" s="13"/>
      <c r="H5" s="13"/>
      <c r="I5" s="17" t="s">
        <v>4</v>
      </c>
      <c r="J5" s="18"/>
      <c r="K5" s="13"/>
      <c r="L5" s="13"/>
      <c r="M5" s="14"/>
    </row>
    <row r="6" spans="1:14">
      <c r="A6" s="19" t="s">
        <v>5</v>
      </c>
      <c r="B6" s="2"/>
      <c r="C6" s="15"/>
      <c r="D6" s="13"/>
      <c r="E6" s="13"/>
      <c r="F6" s="16"/>
      <c r="G6" s="13"/>
      <c r="H6" s="13"/>
      <c r="I6" s="17"/>
      <c r="J6" s="18"/>
      <c r="K6" s="13"/>
      <c r="L6" s="13"/>
      <c r="M6" s="14"/>
    </row>
    <row r="7" spans="1:14">
      <c r="A7" s="15" t="s">
        <v>6</v>
      </c>
      <c r="B7" s="15"/>
      <c r="C7" s="15"/>
      <c r="D7" s="2"/>
      <c r="E7" s="2"/>
      <c r="F7" s="20"/>
      <c r="G7" s="2"/>
      <c r="H7" s="13"/>
      <c r="I7" s="17"/>
      <c r="J7" s="18"/>
      <c r="K7" s="13"/>
      <c r="L7" s="13"/>
      <c r="M7" s="14"/>
    </row>
    <row r="8" spans="1:14">
      <c r="A8" s="15"/>
      <c r="B8" s="15"/>
      <c r="C8" s="15"/>
      <c r="D8" s="2"/>
      <c r="E8" s="2"/>
      <c r="F8" s="20"/>
      <c r="G8" s="2"/>
      <c r="H8" s="13" t="s">
        <v>7</v>
      </c>
      <c r="I8" s="17" t="s">
        <v>8</v>
      </c>
      <c r="J8" s="18"/>
      <c r="K8" s="13"/>
      <c r="L8" s="13"/>
      <c r="M8" s="14"/>
    </row>
    <row r="9" spans="1:14">
      <c r="A9" s="15"/>
      <c r="B9" s="15"/>
      <c r="C9" s="15"/>
      <c r="D9" s="2"/>
      <c r="E9" s="2"/>
      <c r="F9" s="20"/>
      <c r="G9" s="2"/>
      <c r="H9" s="13" t="s">
        <v>9</v>
      </c>
      <c r="I9" s="17"/>
      <c r="J9" s="18"/>
      <c r="K9" s="13"/>
      <c r="L9" s="13"/>
      <c r="M9" s="14"/>
    </row>
    <row r="10" spans="1:14" ht="35.25" customHeight="1">
      <c r="A10" s="1" t="s">
        <v>10</v>
      </c>
      <c r="B10" s="1" t="s">
        <v>11</v>
      </c>
      <c r="C10" s="1" t="s">
        <v>12</v>
      </c>
      <c r="D10" s="21" t="s">
        <v>13</v>
      </c>
      <c r="E10" s="22" t="s">
        <v>14</v>
      </c>
      <c r="F10" s="5" t="s">
        <v>15</v>
      </c>
      <c r="G10" s="23" t="s">
        <v>16</v>
      </c>
      <c r="H10" s="6" t="s">
        <v>17</v>
      </c>
      <c r="I10" s="24" t="s">
        <v>18</v>
      </c>
      <c r="J10" s="1" t="s">
        <v>19</v>
      </c>
      <c r="K10" s="6" t="s">
        <v>20</v>
      </c>
      <c r="L10" s="22" t="s">
        <v>21</v>
      </c>
      <c r="M10" s="6" t="s">
        <v>22</v>
      </c>
    </row>
    <row r="11" spans="1:14">
      <c r="A11" s="2">
        <v>1</v>
      </c>
      <c r="B11" s="2" t="s">
        <v>170</v>
      </c>
      <c r="C11" s="25"/>
      <c r="D11" s="26"/>
      <c r="E11" s="27">
        <v>5000</v>
      </c>
      <c r="F11" s="20">
        <v>4000</v>
      </c>
      <c r="G11" s="28">
        <f>D11+E11+F11</f>
        <v>9000</v>
      </c>
      <c r="H11" s="79">
        <v>3000</v>
      </c>
      <c r="I11" s="75" t="s">
        <v>189</v>
      </c>
      <c r="J11" s="81" t="s">
        <v>185</v>
      </c>
      <c r="K11" s="28">
        <f>G11-H11</f>
        <v>6000</v>
      </c>
      <c r="L11" s="32"/>
      <c r="M11" s="18" t="s">
        <v>25</v>
      </c>
    </row>
    <row r="12" spans="1:14">
      <c r="A12" s="33">
        <v>2</v>
      </c>
      <c r="B12" s="2" t="s">
        <v>26</v>
      </c>
      <c r="C12" s="25" t="s">
        <v>27</v>
      </c>
      <c r="D12" s="28">
        <v>0</v>
      </c>
      <c r="E12" s="27">
        <v>4000</v>
      </c>
      <c r="F12" s="20">
        <v>3000</v>
      </c>
      <c r="G12" s="28">
        <f t="shared" ref="G12:G29" si="0">D12+E12+F12</f>
        <v>7000</v>
      </c>
      <c r="H12" s="79">
        <v>5000</v>
      </c>
      <c r="I12" s="75" t="s">
        <v>193</v>
      </c>
      <c r="J12" s="81" t="s">
        <v>185</v>
      </c>
      <c r="K12" s="28">
        <f t="shared" ref="K12:K29" si="1">G12-H12</f>
        <v>2000</v>
      </c>
      <c r="L12" s="32"/>
      <c r="M12" s="18" t="s">
        <v>25</v>
      </c>
      <c r="N12" s="11" t="s">
        <v>123</v>
      </c>
    </row>
    <row r="13" spans="1:14">
      <c r="A13" s="2">
        <v>3</v>
      </c>
      <c r="B13" s="2" t="s">
        <v>112</v>
      </c>
      <c r="C13" s="25"/>
      <c r="D13" s="34">
        <v>0</v>
      </c>
      <c r="E13" s="27">
        <v>4000</v>
      </c>
      <c r="F13" s="20">
        <v>1000</v>
      </c>
      <c r="G13" s="28">
        <f t="shared" si="0"/>
        <v>5000</v>
      </c>
      <c r="H13" s="82">
        <v>2000</v>
      </c>
      <c r="I13" s="75" t="s">
        <v>58</v>
      </c>
      <c r="J13" s="81" t="s">
        <v>185</v>
      </c>
      <c r="K13" s="28">
        <f t="shared" si="1"/>
        <v>3000</v>
      </c>
      <c r="L13" s="32"/>
      <c r="M13" s="18" t="s">
        <v>25</v>
      </c>
    </row>
    <row r="14" spans="1:14">
      <c r="A14" s="2">
        <v>4</v>
      </c>
      <c r="B14" s="2" t="s">
        <v>77</v>
      </c>
      <c r="C14" s="25" t="s">
        <v>30</v>
      </c>
      <c r="D14" s="34"/>
      <c r="E14" s="27">
        <v>6000</v>
      </c>
      <c r="F14" s="20">
        <f>JULY!K14</f>
        <v>0</v>
      </c>
      <c r="G14" s="28">
        <f t="shared" si="0"/>
        <v>6000</v>
      </c>
      <c r="H14" s="79">
        <f>6000</f>
        <v>6000</v>
      </c>
      <c r="I14" s="75" t="s">
        <v>196</v>
      </c>
      <c r="J14" s="81" t="s">
        <v>185</v>
      </c>
      <c r="K14" s="28">
        <f t="shared" si="1"/>
        <v>0</v>
      </c>
      <c r="L14" s="32"/>
      <c r="M14" s="18"/>
      <c r="N14" s="11" t="s">
        <v>123</v>
      </c>
    </row>
    <row r="15" spans="1:14">
      <c r="A15" s="2">
        <v>5</v>
      </c>
      <c r="B15" s="2" t="s">
        <v>89</v>
      </c>
      <c r="C15" s="25" t="s">
        <v>75</v>
      </c>
      <c r="D15" s="34"/>
      <c r="E15" s="27">
        <v>6500</v>
      </c>
      <c r="F15" s="20">
        <f>JULY!K15</f>
        <v>500</v>
      </c>
      <c r="G15" s="28">
        <f t="shared" si="0"/>
        <v>7000</v>
      </c>
      <c r="H15" s="79">
        <f>6000</f>
        <v>6000</v>
      </c>
      <c r="I15" s="75" t="s">
        <v>191</v>
      </c>
      <c r="J15" s="81" t="s">
        <v>185</v>
      </c>
      <c r="K15" s="28">
        <f t="shared" si="1"/>
        <v>1000</v>
      </c>
      <c r="L15" s="32"/>
      <c r="M15" s="18"/>
      <c r="N15" s="11" t="s">
        <v>123</v>
      </c>
    </row>
    <row r="16" spans="1:14">
      <c r="A16" s="2">
        <v>6</v>
      </c>
      <c r="B16" s="2" t="s">
        <v>32</v>
      </c>
      <c r="C16" s="25" t="s">
        <v>33</v>
      </c>
      <c r="D16" s="34">
        <v>0</v>
      </c>
      <c r="E16" s="27">
        <v>6500</v>
      </c>
      <c r="F16" s="20">
        <f>JULY!K16</f>
        <v>100</v>
      </c>
      <c r="G16" s="28">
        <f t="shared" si="0"/>
        <v>6600</v>
      </c>
      <c r="H16" s="79">
        <f>4000+2500</f>
        <v>6500</v>
      </c>
      <c r="I16" s="75" t="s">
        <v>195</v>
      </c>
      <c r="J16" s="81" t="s">
        <v>185</v>
      </c>
      <c r="K16" s="28">
        <f t="shared" si="1"/>
        <v>100</v>
      </c>
      <c r="L16" s="32"/>
      <c r="M16" s="18" t="s">
        <v>25</v>
      </c>
      <c r="N16" s="11" t="s">
        <v>123</v>
      </c>
    </row>
    <row r="17" spans="1:15">
      <c r="A17" s="33">
        <v>7</v>
      </c>
      <c r="B17" s="2" t="s">
        <v>110</v>
      </c>
      <c r="C17" s="25"/>
      <c r="D17" s="34"/>
      <c r="E17" s="27">
        <v>5500</v>
      </c>
      <c r="F17" s="20">
        <f>JULY!K17</f>
        <v>500</v>
      </c>
      <c r="G17" s="28">
        <f t="shared" si="0"/>
        <v>6000</v>
      </c>
      <c r="H17" s="79">
        <f>5500</f>
        <v>5500</v>
      </c>
      <c r="I17" s="75" t="s">
        <v>197</v>
      </c>
      <c r="J17" s="81" t="s">
        <v>185</v>
      </c>
      <c r="K17" s="28">
        <f t="shared" si="1"/>
        <v>500</v>
      </c>
      <c r="L17" s="32"/>
      <c r="M17" s="18" t="s">
        <v>25</v>
      </c>
      <c r="O17" s="36"/>
    </row>
    <row r="18" spans="1:15">
      <c r="A18" s="2">
        <v>8</v>
      </c>
      <c r="B18" s="2" t="s">
        <v>34</v>
      </c>
      <c r="C18" s="25" t="s">
        <v>35</v>
      </c>
      <c r="D18" s="34">
        <v>0</v>
      </c>
      <c r="E18" s="27">
        <v>5000</v>
      </c>
      <c r="F18" s="20">
        <f>JULY!K18</f>
        <v>0</v>
      </c>
      <c r="G18" s="28">
        <f t="shared" si="0"/>
        <v>5000</v>
      </c>
      <c r="H18" s="79"/>
      <c r="I18" s="80"/>
      <c r="J18" s="81" t="s">
        <v>185</v>
      </c>
      <c r="K18" s="28">
        <f t="shared" si="1"/>
        <v>5000</v>
      </c>
      <c r="L18" s="32" t="s">
        <v>100</v>
      </c>
      <c r="M18" s="18" t="s">
        <v>25</v>
      </c>
    </row>
    <row r="19" spans="1:15">
      <c r="A19" s="33">
        <v>9</v>
      </c>
      <c r="B19" s="2" t="s">
        <v>37</v>
      </c>
      <c r="C19" s="25" t="s">
        <v>38</v>
      </c>
      <c r="D19" s="34"/>
      <c r="E19" s="27">
        <v>5000</v>
      </c>
      <c r="F19" s="20">
        <f>JULY!K19</f>
        <v>0</v>
      </c>
      <c r="G19" s="28">
        <f t="shared" si="0"/>
        <v>5000</v>
      </c>
      <c r="H19" s="79">
        <f>5000</f>
        <v>5000</v>
      </c>
      <c r="I19" s="75" t="s">
        <v>58</v>
      </c>
      <c r="J19" s="81" t="s">
        <v>185</v>
      </c>
      <c r="K19" s="28">
        <f t="shared" si="1"/>
        <v>0</v>
      </c>
      <c r="L19" s="32"/>
      <c r="M19" s="18"/>
    </row>
    <row r="20" spans="1:15">
      <c r="A20" s="33">
        <v>10</v>
      </c>
      <c r="B20" s="2" t="s">
        <v>39</v>
      </c>
      <c r="C20" s="25" t="s">
        <v>40</v>
      </c>
      <c r="D20" s="38">
        <v>0</v>
      </c>
      <c r="E20" s="27">
        <v>3400</v>
      </c>
      <c r="F20" s="20">
        <f>JULY!K20</f>
        <v>0</v>
      </c>
      <c r="G20" s="28">
        <f t="shared" si="0"/>
        <v>3400</v>
      </c>
      <c r="H20" s="79">
        <f>3400</f>
        <v>3400</v>
      </c>
      <c r="I20" s="75" t="s">
        <v>188</v>
      </c>
      <c r="J20" s="81" t="s">
        <v>185</v>
      </c>
      <c r="K20" s="28">
        <f t="shared" si="1"/>
        <v>0</v>
      </c>
      <c r="L20" s="32"/>
      <c r="M20" s="18" t="s">
        <v>25</v>
      </c>
      <c r="N20" s="11" t="s">
        <v>123</v>
      </c>
    </row>
    <row r="21" spans="1:15">
      <c r="A21" s="33">
        <v>11</v>
      </c>
      <c r="B21" s="2" t="s">
        <v>41</v>
      </c>
      <c r="C21" s="25" t="s">
        <v>42</v>
      </c>
      <c r="D21" s="38">
        <v>0</v>
      </c>
      <c r="E21" s="27">
        <v>4500</v>
      </c>
      <c r="F21" s="20">
        <f>JULY!K21</f>
        <v>0</v>
      </c>
      <c r="G21" s="28">
        <f t="shared" si="0"/>
        <v>4500</v>
      </c>
      <c r="H21" s="79">
        <v>4500</v>
      </c>
      <c r="I21" s="75" t="s">
        <v>187</v>
      </c>
      <c r="J21" s="81" t="s">
        <v>185</v>
      </c>
      <c r="K21" s="28">
        <f t="shared" si="1"/>
        <v>0</v>
      </c>
      <c r="L21" s="32"/>
      <c r="M21" s="18" t="s">
        <v>25</v>
      </c>
      <c r="N21" s="11" t="s">
        <v>123</v>
      </c>
    </row>
    <row r="22" spans="1:15">
      <c r="A22" s="33">
        <v>12</v>
      </c>
      <c r="B22" s="2" t="s">
        <v>43</v>
      </c>
      <c r="C22" s="25" t="s">
        <v>182</v>
      </c>
      <c r="D22" s="38">
        <v>0</v>
      </c>
      <c r="E22" s="27">
        <v>8000</v>
      </c>
      <c r="F22" s="20">
        <f>JULY!K22</f>
        <v>3000</v>
      </c>
      <c r="G22" s="28">
        <f t="shared" si="0"/>
        <v>11000</v>
      </c>
      <c r="H22" s="79">
        <f>8000</f>
        <v>8000</v>
      </c>
      <c r="I22" s="86">
        <v>9093</v>
      </c>
      <c r="J22" s="81" t="s">
        <v>185</v>
      </c>
      <c r="K22" s="28">
        <f t="shared" si="1"/>
        <v>3000</v>
      </c>
      <c r="L22" s="32" t="s">
        <v>100</v>
      </c>
      <c r="M22" s="18" t="s">
        <v>25</v>
      </c>
    </row>
    <row r="23" spans="1:15">
      <c r="A23" s="33">
        <v>13</v>
      </c>
      <c r="B23" s="2" t="s">
        <v>45</v>
      </c>
      <c r="C23" s="25" t="s">
        <v>46</v>
      </c>
      <c r="D23" s="38">
        <v>0</v>
      </c>
      <c r="E23" s="27">
        <v>10000</v>
      </c>
      <c r="F23" s="20">
        <f>JULY!K23</f>
        <v>0</v>
      </c>
      <c r="G23" s="28">
        <f t="shared" si="0"/>
        <v>10000</v>
      </c>
      <c r="H23" s="79">
        <f>10000</f>
        <v>10000</v>
      </c>
      <c r="I23" s="75" t="s">
        <v>194</v>
      </c>
      <c r="J23" s="81" t="s">
        <v>185</v>
      </c>
      <c r="K23" s="28">
        <f t="shared" si="1"/>
        <v>0</v>
      </c>
      <c r="L23" s="32" t="s">
        <v>47</v>
      </c>
      <c r="M23" s="18" t="s">
        <v>25</v>
      </c>
    </row>
    <row r="24" spans="1:15">
      <c r="A24" s="33">
        <v>14</v>
      </c>
      <c r="B24" s="2" t="s">
        <v>176</v>
      </c>
      <c r="C24" s="25" t="s">
        <v>177</v>
      </c>
      <c r="D24" s="38"/>
      <c r="E24" s="27">
        <v>4500</v>
      </c>
      <c r="F24" s="20">
        <f>JULY!K24</f>
        <v>0</v>
      </c>
      <c r="G24" s="28">
        <f t="shared" si="0"/>
        <v>4500</v>
      </c>
      <c r="H24" s="79">
        <f>4500</f>
        <v>4500</v>
      </c>
      <c r="I24" s="80" t="s">
        <v>58</v>
      </c>
      <c r="J24" s="81" t="s">
        <v>185</v>
      </c>
      <c r="K24" s="28">
        <f t="shared" si="1"/>
        <v>0</v>
      </c>
      <c r="L24" s="32"/>
      <c r="M24" s="18" t="s">
        <v>25</v>
      </c>
    </row>
    <row r="25" spans="1:15" ht="23.25">
      <c r="A25" s="33">
        <v>15</v>
      </c>
      <c r="B25" s="2" t="s">
        <v>49</v>
      </c>
      <c r="C25" s="25" t="s">
        <v>50</v>
      </c>
      <c r="D25" s="38">
        <v>0</v>
      </c>
      <c r="E25" s="27">
        <v>10000</v>
      </c>
      <c r="F25" s="20">
        <f>JULY!K25</f>
        <v>4000</v>
      </c>
      <c r="G25" s="28">
        <f t="shared" si="0"/>
        <v>14000</v>
      </c>
      <c r="H25" s="82">
        <f>3000+4000+3000</f>
        <v>10000</v>
      </c>
      <c r="I25" s="75" t="s">
        <v>198</v>
      </c>
      <c r="J25" s="81" t="s">
        <v>185</v>
      </c>
      <c r="K25" s="28">
        <f t="shared" si="1"/>
        <v>4000</v>
      </c>
      <c r="L25" s="40" t="s">
        <v>100</v>
      </c>
      <c r="M25" s="18" t="s">
        <v>25</v>
      </c>
    </row>
    <row r="26" spans="1:15">
      <c r="A26" s="33">
        <v>16</v>
      </c>
      <c r="B26" s="2" t="s">
        <v>112</v>
      </c>
      <c r="C26" s="25"/>
      <c r="D26" s="38"/>
      <c r="E26" s="27">
        <v>8000</v>
      </c>
      <c r="F26" s="20">
        <f>JULY!K26</f>
        <v>0</v>
      </c>
      <c r="G26" s="28">
        <f t="shared" si="0"/>
        <v>8000</v>
      </c>
      <c r="H26" s="82">
        <f>8000</f>
        <v>8000</v>
      </c>
      <c r="I26" s="76" t="s">
        <v>58</v>
      </c>
      <c r="J26" s="81" t="s">
        <v>185</v>
      </c>
      <c r="K26" s="28">
        <f t="shared" si="1"/>
        <v>0</v>
      </c>
      <c r="L26" s="40"/>
      <c r="M26" s="41"/>
    </row>
    <row r="27" spans="1:15">
      <c r="A27" s="33">
        <v>17</v>
      </c>
      <c r="B27" s="2" t="s">
        <v>51</v>
      </c>
      <c r="C27" s="25" t="s">
        <v>52</v>
      </c>
      <c r="D27" s="38"/>
      <c r="E27" s="27">
        <v>18000</v>
      </c>
      <c r="F27" s="20">
        <f>JULY!K27</f>
        <v>0</v>
      </c>
      <c r="G27" s="28">
        <f t="shared" si="0"/>
        <v>18000</v>
      </c>
      <c r="H27" s="82">
        <f>18000</f>
        <v>18000</v>
      </c>
      <c r="I27" s="76" t="s">
        <v>192</v>
      </c>
      <c r="J27" s="81" t="s">
        <v>185</v>
      </c>
      <c r="K27" s="28">
        <f t="shared" si="1"/>
        <v>0</v>
      </c>
      <c r="L27" s="40" t="s">
        <v>36</v>
      </c>
      <c r="M27" s="18" t="s">
        <v>25</v>
      </c>
    </row>
    <row r="28" spans="1:15">
      <c r="A28" s="33">
        <v>18</v>
      </c>
      <c r="B28" s="2" t="s">
        <v>99</v>
      </c>
      <c r="C28" s="25"/>
      <c r="D28" s="38"/>
      <c r="E28" s="27">
        <v>9000</v>
      </c>
      <c r="F28" s="20">
        <f>JULY!K28</f>
        <v>0</v>
      </c>
      <c r="G28" s="28">
        <f t="shared" si="0"/>
        <v>9000</v>
      </c>
      <c r="H28" s="82">
        <f>9000</f>
        <v>9000</v>
      </c>
      <c r="I28" s="76" t="s">
        <v>190</v>
      </c>
      <c r="J28" s="81" t="s">
        <v>185</v>
      </c>
      <c r="K28" s="28">
        <f t="shared" si="1"/>
        <v>0</v>
      </c>
      <c r="L28" s="40"/>
      <c r="M28" s="18" t="s">
        <v>25</v>
      </c>
      <c r="N28" s="11" t="s">
        <v>123</v>
      </c>
    </row>
    <row r="29" spans="1:15">
      <c r="A29" s="33">
        <v>19</v>
      </c>
      <c r="B29" s="2" t="s">
        <v>112</v>
      </c>
      <c r="C29" s="25"/>
      <c r="D29" s="38"/>
      <c r="E29" s="27">
        <v>10000</v>
      </c>
      <c r="F29" s="20">
        <f>JULY!K29</f>
        <v>0</v>
      </c>
      <c r="G29" s="28">
        <f t="shared" si="0"/>
        <v>10000</v>
      </c>
      <c r="H29" s="82">
        <f>10000</f>
        <v>10000</v>
      </c>
      <c r="I29" s="76" t="s">
        <v>58</v>
      </c>
      <c r="J29" s="81" t="s">
        <v>185</v>
      </c>
      <c r="K29" s="28">
        <f t="shared" si="1"/>
        <v>0</v>
      </c>
      <c r="L29" s="40"/>
      <c r="M29" s="41"/>
    </row>
    <row r="30" spans="1:15">
      <c r="A30" s="42" t="s">
        <v>55</v>
      </c>
      <c r="B30" s="33"/>
      <c r="C30" s="43"/>
      <c r="D30" s="34"/>
      <c r="E30" s="44">
        <f>SUM(E11:E29)</f>
        <v>132900</v>
      </c>
      <c r="F30" s="20">
        <f>SUM(F11:F29)</f>
        <v>16100</v>
      </c>
      <c r="G30" s="44">
        <f>SUM(G11:G29)</f>
        <v>149000</v>
      </c>
      <c r="H30" s="44">
        <f>SUM(H11:H29)</f>
        <v>124400</v>
      </c>
      <c r="I30" s="45"/>
      <c r="J30" s="44"/>
      <c r="K30" s="44">
        <f>SUM(K11:K29)</f>
        <v>24600</v>
      </c>
      <c r="L30" s="32"/>
      <c r="M30" s="46"/>
    </row>
    <row r="31" spans="1:15">
      <c r="A31" s="47" t="s">
        <v>56</v>
      </c>
      <c r="B31" s="2"/>
      <c r="C31" s="43"/>
      <c r="D31" s="48"/>
      <c r="E31" s="49"/>
      <c r="F31" s="50"/>
      <c r="G31" s="49"/>
      <c r="H31" s="49"/>
      <c r="I31" s="24"/>
      <c r="J31" s="1"/>
      <c r="K31" s="49"/>
      <c r="L31" s="49"/>
      <c r="M31" s="51"/>
    </row>
    <row r="32" spans="1:15">
      <c r="A32" s="2" t="s">
        <v>57</v>
      </c>
      <c r="B32" s="2"/>
      <c r="C32" s="43"/>
      <c r="D32" s="2"/>
      <c r="E32" s="52"/>
      <c r="F32" s="20"/>
      <c r="G32" s="2"/>
      <c r="H32" s="53">
        <f>10%*H30</f>
        <v>12440</v>
      </c>
      <c r="I32" s="54"/>
      <c r="J32" s="2"/>
      <c r="K32" s="2"/>
      <c r="L32" s="2"/>
      <c r="M32" s="55"/>
    </row>
    <row r="33" spans="1:13">
      <c r="A33" s="2" t="s">
        <v>58</v>
      </c>
      <c r="B33" s="2"/>
      <c r="C33" s="43"/>
      <c r="D33" s="2"/>
      <c r="E33" s="52"/>
      <c r="F33" s="20"/>
      <c r="G33" s="2"/>
      <c r="H33" s="77">
        <f>H13+H29+H26+H19+H24</f>
        <v>29500</v>
      </c>
      <c r="I33" s="54"/>
      <c r="J33" s="2"/>
      <c r="K33" s="2"/>
      <c r="L33" s="2"/>
      <c r="M33" s="55"/>
    </row>
    <row r="34" spans="1:13">
      <c r="A34" s="15" t="s">
        <v>59</v>
      </c>
      <c r="B34" s="15"/>
      <c r="C34" s="15"/>
      <c r="D34" s="15"/>
      <c r="E34" s="15"/>
      <c r="F34" s="57"/>
      <c r="G34" s="15"/>
      <c r="H34" s="58">
        <f>SUM(H32:H33)</f>
        <v>41940</v>
      </c>
      <c r="I34" s="59"/>
      <c r="J34" s="15"/>
      <c r="K34" s="15" t="s">
        <v>60</v>
      </c>
      <c r="L34" s="15"/>
      <c r="M34" s="60"/>
    </row>
    <row r="35" spans="1:13">
      <c r="A35" s="15" t="s">
        <v>61</v>
      </c>
      <c r="B35" s="15"/>
      <c r="C35" s="15"/>
      <c r="D35" s="15"/>
      <c r="E35" s="15"/>
      <c r="F35" s="57"/>
      <c r="G35" s="15"/>
      <c r="H35" s="58">
        <f>JULY!K37</f>
        <v>0</v>
      </c>
      <c r="I35" s="59"/>
      <c r="J35" s="15"/>
      <c r="K35" s="15"/>
      <c r="L35" s="15" t="s">
        <v>60</v>
      </c>
      <c r="M35" s="60"/>
    </row>
    <row r="36" spans="1:13">
      <c r="A36" s="2"/>
      <c r="B36" s="2"/>
      <c r="C36" s="2"/>
      <c r="D36" s="2"/>
      <c r="E36" s="2"/>
      <c r="F36" s="20"/>
      <c r="G36" s="2"/>
      <c r="H36" s="53"/>
      <c r="I36" s="62" t="s">
        <v>62</v>
      </c>
      <c r="J36" s="62" t="s">
        <v>62</v>
      </c>
      <c r="K36" s="62" t="s">
        <v>63</v>
      </c>
      <c r="L36" s="62"/>
      <c r="M36" s="55"/>
    </row>
    <row r="37" spans="1:13" ht="16.5" thickBot="1">
      <c r="A37" s="1" t="s">
        <v>64</v>
      </c>
      <c r="B37" s="1"/>
      <c r="C37" s="1"/>
      <c r="D37" s="1"/>
      <c r="E37" s="1"/>
      <c r="F37" s="50"/>
      <c r="G37" s="1"/>
      <c r="H37" s="63">
        <f>H30-H34+H35</f>
        <v>82460</v>
      </c>
      <c r="I37" s="64">
        <v>70000</v>
      </c>
      <c r="J37" s="57"/>
      <c r="K37" s="65">
        <f>H37-I37-J37</f>
        <v>12460</v>
      </c>
      <c r="L37" s="57"/>
      <c r="M37" s="60"/>
    </row>
    <row r="38" spans="1:13" ht="16.5" thickTop="1">
      <c r="A38" s="2" t="s">
        <v>65</v>
      </c>
      <c r="B38" s="2"/>
      <c r="C38" s="2"/>
      <c r="D38" s="2"/>
      <c r="E38" s="2"/>
      <c r="F38" s="20"/>
      <c r="G38" s="2"/>
      <c r="H38" s="2"/>
      <c r="I38" s="54"/>
      <c r="J38" s="2"/>
      <c r="K38" s="66">
        <v>46265</v>
      </c>
      <c r="L38" s="67"/>
      <c r="M38" s="68"/>
    </row>
    <row r="41" spans="1:13">
      <c r="H41" s="11">
        <f>H30/G30*100</f>
        <v>83.489932885906043</v>
      </c>
    </row>
    <row r="43" spans="1:13">
      <c r="K43" s="11">
        <f>18400+32000</f>
        <v>50400</v>
      </c>
    </row>
  </sheetData>
  <mergeCells count="1">
    <mergeCell ref="A3:K3"/>
  </mergeCells>
  <pageMargins left="0.25" right="0.25" top="0.75" bottom="0.75" header="0.3" footer="0.3"/>
  <pageSetup scale="6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764E5-0FCE-4E6E-A87C-10AEC871BF01}">
  <sheetPr>
    <pageSetUpPr fitToPage="1"/>
  </sheetPr>
  <dimension ref="A1:O43"/>
  <sheetViews>
    <sheetView topLeftCell="A7" zoomScaleNormal="100" workbookViewId="0">
      <selection activeCell="C12" sqref="C12"/>
    </sheetView>
  </sheetViews>
  <sheetFormatPr defaultColWidth="9" defaultRowHeight="15.75"/>
  <cols>
    <col min="1" max="1" width="5.85546875" style="11" customWidth="1"/>
    <col min="2" max="2" width="24.7109375" style="11" customWidth="1"/>
    <col min="3" max="3" width="12" style="11" customWidth="1"/>
    <col min="4" max="4" width="10.28515625" style="11" customWidth="1"/>
    <col min="5" max="5" width="9.5703125" style="11" customWidth="1"/>
    <col min="6" max="6" width="9" style="11" customWidth="1"/>
    <col min="7" max="7" width="10.28515625" style="11" customWidth="1"/>
    <col min="8" max="8" width="11" style="11" customWidth="1"/>
    <col min="9" max="9" width="25.5703125" style="71" customWidth="1"/>
    <col min="10" max="10" width="14.42578125" style="11" customWidth="1"/>
    <col min="11" max="11" width="13.5703125" style="11" customWidth="1"/>
    <col min="12" max="12" width="26.28515625" style="11" customWidth="1"/>
    <col min="13" max="13" width="16.140625" style="11" customWidth="1"/>
    <col min="14" max="16384" width="9" style="11"/>
  </cols>
  <sheetData>
    <row r="1" spans="1:14">
      <c r="A1" s="1"/>
      <c r="B1" s="2"/>
      <c r="C1" s="3" t="s">
        <v>0</v>
      </c>
      <c r="D1" s="4"/>
      <c r="E1" s="2"/>
      <c r="F1" s="5"/>
      <c r="G1" s="6"/>
      <c r="H1" s="6"/>
      <c r="I1" s="7"/>
      <c r="J1" s="8"/>
      <c r="K1" s="9"/>
      <c r="L1" s="9"/>
      <c r="M1" s="10"/>
    </row>
    <row r="2" spans="1:14">
      <c r="A2" s="1" t="s">
        <v>1</v>
      </c>
      <c r="B2" s="1"/>
      <c r="C2" s="1"/>
      <c r="D2" s="1"/>
      <c r="E2" s="6"/>
      <c r="F2" s="5"/>
      <c r="G2" s="6"/>
      <c r="H2" s="6"/>
      <c r="I2" s="7"/>
      <c r="J2" s="8"/>
      <c r="K2" s="9"/>
      <c r="L2" s="9"/>
      <c r="M2" s="10"/>
    </row>
    <row r="3" spans="1:14">
      <c r="A3" s="88" t="s">
        <v>200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1"/>
      <c r="M3" s="12"/>
    </row>
    <row r="4" spans="1:14">
      <c r="A4" s="1"/>
      <c r="B4" s="1"/>
      <c r="C4" s="1"/>
      <c r="D4" s="6"/>
      <c r="E4" s="6"/>
      <c r="F4" s="5"/>
      <c r="G4" s="6"/>
      <c r="H4" s="6"/>
      <c r="I4" s="7" t="s">
        <v>2</v>
      </c>
      <c r="J4" s="8"/>
      <c r="K4" s="13"/>
      <c r="L4" s="13"/>
      <c r="M4" s="14"/>
    </row>
    <row r="5" spans="1:14">
      <c r="A5" s="15" t="s">
        <v>3</v>
      </c>
      <c r="B5" s="15"/>
      <c r="C5" s="15"/>
      <c r="D5" s="13"/>
      <c r="E5" s="13"/>
      <c r="F5" s="16"/>
      <c r="G5" s="13"/>
      <c r="H5" s="13"/>
      <c r="I5" s="17" t="s">
        <v>4</v>
      </c>
      <c r="J5" s="18"/>
      <c r="K5" s="13"/>
      <c r="L5" s="13"/>
      <c r="M5" s="14"/>
    </row>
    <row r="6" spans="1:14">
      <c r="A6" s="19" t="s">
        <v>5</v>
      </c>
      <c r="B6" s="2"/>
      <c r="C6" s="15"/>
      <c r="D6" s="13"/>
      <c r="E6" s="13"/>
      <c r="F6" s="16"/>
      <c r="G6" s="13"/>
      <c r="H6" s="13"/>
      <c r="I6" s="17"/>
      <c r="J6" s="18"/>
      <c r="K6" s="13"/>
      <c r="L6" s="13"/>
      <c r="M6" s="14"/>
    </row>
    <row r="7" spans="1:14">
      <c r="A7" s="15" t="s">
        <v>6</v>
      </c>
      <c r="B7" s="15"/>
      <c r="C7" s="15"/>
      <c r="D7" s="2"/>
      <c r="E7" s="2"/>
      <c r="F7" s="20"/>
      <c r="G7" s="2"/>
      <c r="H7" s="13"/>
      <c r="I7" s="17"/>
      <c r="J7" s="18"/>
      <c r="K7" s="13"/>
      <c r="L7" s="13"/>
      <c r="M7" s="14"/>
    </row>
    <row r="8" spans="1:14">
      <c r="A8" s="15"/>
      <c r="B8" s="15"/>
      <c r="C8" s="15"/>
      <c r="D8" s="2"/>
      <c r="E8" s="2"/>
      <c r="F8" s="20"/>
      <c r="G8" s="2"/>
      <c r="H8" s="13" t="s">
        <v>7</v>
      </c>
      <c r="I8" s="17" t="s">
        <v>8</v>
      </c>
      <c r="J8" s="18"/>
      <c r="K8" s="13"/>
      <c r="L8" s="13"/>
      <c r="M8" s="14"/>
    </row>
    <row r="9" spans="1:14">
      <c r="A9" s="15"/>
      <c r="B9" s="15"/>
      <c r="C9" s="15"/>
      <c r="D9" s="2"/>
      <c r="E9" s="2"/>
      <c r="F9" s="20"/>
      <c r="G9" s="2"/>
      <c r="H9" s="13" t="s">
        <v>9</v>
      </c>
      <c r="I9" s="17"/>
      <c r="J9" s="18"/>
      <c r="K9" s="13"/>
      <c r="L9" s="13"/>
      <c r="M9" s="14"/>
    </row>
    <row r="10" spans="1:14" ht="35.25" customHeight="1">
      <c r="A10" s="1" t="s">
        <v>10</v>
      </c>
      <c r="B10" s="1" t="s">
        <v>11</v>
      </c>
      <c r="C10" s="1" t="s">
        <v>12</v>
      </c>
      <c r="D10" s="21" t="s">
        <v>13</v>
      </c>
      <c r="E10" s="22" t="s">
        <v>14</v>
      </c>
      <c r="F10" s="5" t="s">
        <v>15</v>
      </c>
      <c r="G10" s="23" t="s">
        <v>16</v>
      </c>
      <c r="H10" s="6" t="s">
        <v>17</v>
      </c>
      <c r="I10" s="24" t="s">
        <v>18</v>
      </c>
      <c r="J10" s="1" t="s">
        <v>19</v>
      </c>
      <c r="K10" s="6" t="s">
        <v>20</v>
      </c>
      <c r="L10" s="22" t="s">
        <v>21</v>
      </c>
      <c r="M10" s="6" t="s">
        <v>22</v>
      </c>
    </row>
    <row r="11" spans="1:14">
      <c r="A11" s="2">
        <v>1</v>
      </c>
      <c r="B11" s="2" t="s">
        <v>170</v>
      </c>
      <c r="C11" s="25"/>
      <c r="D11" s="26"/>
      <c r="E11" s="27">
        <v>5000</v>
      </c>
      <c r="F11" s="20">
        <f>AUG!K11</f>
        <v>6000</v>
      </c>
      <c r="G11" s="28">
        <f>D11+E11+F11</f>
        <v>11000</v>
      </c>
      <c r="H11" s="79"/>
      <c r="I11" s="80"/>
      <c r="J11" s="81" t="s">
        <v>199</v>
      </c>
      <c r="K11" s="28">
        <f>G11-H11</f>
        <v>11000</v>
      </c>
      <c r="L11" s="32"/>
      <c r="M11" s="18" t="s">
        <v>25</v>
      </c>
    </row>
    <row r="12" spans="1:14">
      <c r="A12" s="33">
        <v>2</v>
      </c>
      <c r="B12" s="2" t="s">
        <v>26</v>
      </c>
      <c r="C12" s="25" t="s">
        <v>27</v>
      </c>
      <c r="D12" s="28">
        <v>0</v>
      </c>
      <c r="E12" s="27">
        <v>4000</v>
      </c>
      <c r="F12" s="20">
        <f>AUG!K12</f>
        <v>2000</v>
      </c>
      <c r="G12" s="28">
        <f t="shared" ref="G12:G29" si="0">D12+E12+F12</f>
        <v>6000</v>
      </c>
      <c r="H12" s="79"/>
      <c r="I12" s="80"/>
      <c r="J12" s="81" t="s">
        <v>199</v>
      </c>
      <c r="K12" s="28">
        <f t="shared" ref="K12:K29" si="1">G12-H12</f>
        <v>6000</v>
      </c>
      <c r="L12" s="32"/>
      <c r="M12" s="18" t="s">
        <v>25</v>
      </c>
      <c r="N12" s="11" t="s">
        <v>123</v>
      </c>
    </row>
    <row r="13" spans="1:14">
      <c r="A13" s="2">
        <v>3</v>
      </c>
      <c r="B13" s="2" t="s">
        <v>112</v>
      </c>
      <c r="C13" s="25"/>
      <c r="D13" s="34">
        <v>0</v>
      </c>
      <c r="E13" s="27">
        <v>4000</v>
      </c>
      <c r="F13" s="20">
        <f>AUG!K13</f>
        <v>3000</v>
      </c>
      <c r="G13" s="28">
        <f t="shared" si="0"/>
        <v>7000</v>
      </c>
      <c r="H13" s="82"/>
      <c r="I13" s="80"/>
      <c r="J13" s="81" t="s">
        <v>199</v>
      </c>
      <c r="K13" s="28">
        <f t="shared" si="1"/>
        <v>7000</v>
      </c>
      <c r="L13" s="32"/>
      <c r="M13" s="18" t="s">
        <v>25</v>
      </c>
    </row>
    <row r="14" spans="1:14">
      <c r="A14" s="2">
        <v>4</v>
      </c>
      <c r="B14" s="2" t="s">
        <v>77</v>
      </c>
      <c r="C14" s="25" t="s">
        <v>30</v>
      </c>
      <c r="D14" s="34"/>
      <c r="E14" s="27">
        <v>6000</v>
      </c>
      <c r="F14" s="20">
        <f>AUG!K14</f>
        <v>0</v>
      </c>
      <c r="G14" s="28">
        <f t="shared" si="0"/>
        <v>6000</v>
      </c>
      <c r="H14" s="79"/>
      <c r="I14" s="80"/>
      <c r="J14" s="81" t="s">
        <v>199</v>
      </c>
      <c r="K14" s="28">
        <f t="shared" si="1"/>
        <v>6000</v>
      </c>
      <c r="L14" s="32"/>
      <c r="M14" s="18"/>
      <c r="N14" s="11" t="s">
        <v>123</v>
      </c>
    </row>
    <row r="15" spans="1:14">
      <c r="A15" s="2">
        <v>5</v>
      </c>
      <c r="B15" s="2" t="s">
        <v>89</v>
      </c>
      <c r="C15" s="25" t="s">
        <v>75</v>
      </c>
      <c r="D15" s="34"/>
      <c r="E15" s="27">
        <v>6500</v>
      </c>
      <c r="F15" s="20">
        <f>AUG!K15</f>
        <v>1000</v>
      </c>
      <c r="G15" s="28">
        <f t="shared" si="0"/>
        <v>7500</v>
      </c>
      <c r="H15" s="79"/>
      <c r="I15" s="80"/>
      <c r="J15" s="81" t="s">
        <v>199</v>
      </c>
      <c r="K15" s="28">
        <f t="shared" si="1"/>
        <v>7500</v>
      </c>
      <c r="L15" s="32"/>
      <c r="M15" s="18"/>
      <c r="N15" s="11" t="s">
        <v>123</v>
      </c>
    </row>
    <row r="16" spans="1:14">
      <c r="A16" s="2">
        <v>6</v>
      </c>
      <c r="B16" s="2" t="s">
        <v>32</v>
      </c>
      <c r="C16" s="25" t="s">
        <v>33</v>
      </c>
      <c r="D16" s="34">
        <v>0</v>
      </c>
      <c r="E16" s="27">
        <v>6500</v>
      </c>
      <c r="F16" s="20">
        <f>AUG!K16</f>
        <v>100</v>
      </c>
      <c r="G16" s="28">
        <f t="shared" si="0"/>
        <v>6600</v>
      </c>
      <c r="H16" s="79"/>
      <c r="I16" s="80"/>
      <c r="J16" s="81" t="s">
        <v>199</v>
      </c>
      <c r="K16" s="28">
        <f t="shared" si="1"/>
        <v>6600</v>
      </c>
      <c r="L16" s="32"/>
      <c r="M16" s="18" t="s">
        <v>25</v>
      </c>
      <c r="N16" s="11" t="s">
        <v>123</v>
      </c>
    </row>
    <row r="17" spans="1:15">
      <c r="A17" s="33">
        <v>7</v>
      </c>
      <c r="B17" s="2" t="s">
        <v>110</v>
      </c>
      <c r="C17" s="25"/>
      <c r="D17" s="34"/>
      <c r="E17" s="27">
        <v>5500</v>
      </c>
      <c r="F17" s="20">
        <f>AUG!K17</f>
        <v>500</v>
      </c>
      <c r="G17" s="28">
        <f t="shared" si="0"/>
        <v>6000</v>
      </c>
      <c r="H17" s="79"/>
      <c r="I17" s="80"/>
      <c r="J17" s="81" t="s">
        <v>199</v>
      </c>
      <c r="K17" s="28">
        <f t="shared" si="1"/>
        <v>6000</v>
      </c>
      <c r="L17" s="32"/>
      <c r="M17" s="18" t="s">
        <v>25</v>
      </c>
      <c r="O17" s="36"/>
    </row>
    <row r="18" spans="1:15">
      <c r="A18" s="2">
        <v>8</v>
      </c>
      <c r="B18" s="2" t="s">
        <v>34</v>
      </c>
      <c r="C18" s="25" t="s">
        <v>35</v>
      </c>
      <c r="D18" s="34">
        <v>0</v>
      </c>
      <c r="E18" s="27">
        <v>5000</v>
      </c>
      <c r="F18" s="20">
        <f>AUG!K18</f>
        <v>5000</v>
      </c>
      <c r="G18" s="28">
        <f t="shared" si="0"/>
        <v>10000</v>
      </c>
      <c r="H18" s="79"/>
      <c r="I18" s="80"/>
      <c r="J18" s="81" t="s">
        <v>199</v>
      </c>
      <c r="K18" s="28">
        <f t="shared" si="1"/>
        <v>10000</v>
      </c>
      <c r="L18" s="32"/>
      <c r="M18" s="18" t="s">
        <v>25</v>
      </c>
    </row>
    <row r="19" spans="1:15">
      <c r="A19" s="33">
        <v>9</v>
      </c>
      <c r="B19" s="2" t="s">
        <v>37</v>
      </c>
      <c r="C19" s="25" t="s">
        <v>38</v>
      </c>
      <c r="D19" s="34"/>
      <c r="E19" s="27">
        <v>5000</v>
      </c>
      <c r="F19" s="20">
        <f>AUG!K19</f>
        <v>0</v>
      </c>
      <c r="G19" s="28">
        <f t="shared" si="0"/>
        <v>5000</v>
      </c>
      <c r="H19" s="79"/>
      <c r="I19" s="80"/>
      <c r="J19" s="81" t="s">
        <v>199</v>
      </c>
      <c r="K19" s="28">
        <f t="shared" si="1"/>
        <v>5000</v>
      </c>
      <c r="L19" s="32"/>
      <c r="M19" s="18"/>
    </row>
    <row r="20" spans="1:15">
      <c r="A20" s="33">
        <v>10</v>
      </c>
      <c r="B20" s="2" t="s">
        <v>39</v>
      </c>
      <c r="C20" s="25" t="s">
        <v>40</v>
      </c>
      <c r="D20" s="38">
        <v>0</v>
      </c>
      <c r="E20" s="27">
        <v>3400</v>
      </c>
      <c r="F20" s="20">
        <f>AUG!K20</f>
        <v>0</v>
      </c>
      <c r="G20" s="28">
        <f t="shared" si="0"/>
        <v>3400</v>
      </c>
      <c r="H20" s="79"/>
      <c r="I20" s="80"/>
      <c r="J20" s="81" t="s">
        <v>199</v>
      </c>
      <c r="K20" s="28">
        <f t="shared" si="1"/>
        <v>3400</v>
      </c>
      <c r="L20" s="32"/>
      <c r="M20" s="18" t="s">
        <v>25</v>
      </c>
      <c r="N20" s="11" t="s">
        <v>123</v>
      </c>
    </row>
    <row r="21" spans="1:15">
      <c r="A21" s="33">
        <v>11</v>
      </c>
      <c r="B21" s="2" t="s">
        <v>41</v>
      </c>
      <c r="C21" s="25" t="s">
        <v>42</v>
      </c>
      <c r="D21" s="38">
        <v>0</v>
      </c>
      <c r="E21" s="27">
        <v>4500</v>
      </c>
      <c r="F21" s="20">
        <f>AUG!K21</f>
        <v>0</v>
      </c>
      <c r="G21" s="28">
        <f t="shared" si="0"/>
        <v>4500</v>
      </c>
      <c r="H21" s="79">
        <f>4500</f>
        <v>4500</v>
      </c>
      <c r="I21" s="80" t="s">
        <v>201</v>
      </c>
      <c r="J21" s="81" t="s">
        <v>199</v>
      </c>
      <c r="K21" s="28">
        <f t="shared" si="1"/>
        <v>0</v>
      </c>
      <c r="L21" s="32"/>
      <c r="M21" s="18" t="s">
        <v>25</v>
      </c>
      <c r="N21" s="11" t="s">
        <v>123</v>
      </c>
    </row>
    <row r="22" spans="1:15">
      <c r="A22" s="33">
        <v>12</v>
      </c>
      <c r="B22" s="2" t="s">
        <v>43</v>
      </c>
      <c r="C22" s="25" t="s">
        <v>182</v>
      </c>
      <c r="D22" s="38">
        <v>0</v>
      </c>
      <c r="E22" s="27">
        <v>8000</v>
      </c>
      <c r="F22" s="20">
        <f>AUG!K22</f>
        <v>3000</v>
      </c>
      <c r="G22" s="28">
        <f t="shared" si="0"/>
        <v>11000</v>
      </c>
      <c r="H22" s="79"/>
      <c r="I22" s="87"/>
      <c r="J22" s="81" t="s">
        <v>199</v>
      </c>
      <c r="K22" s="28">
        <f t="shared" si="1"/>
        <v>11000</v>
      </c>
      <c r="L22" s="32"/>
      <c r="M22" s="18" t="s">
        <v>25</v>
      </c>
    </row>
    <row r="23" spans="1:15">
      <c r="A23" s="33">
        <v>13</v>
      </c>
      <c r="B23" s="2" t="s">
        <v>45</v>
      </c>
      <c r="C23" s="25" t="s">
        <v>46</v>
      </c>
      <c r="D23" s="38">
        <v>0</v>
      </c>
      <c r="E23" s="27">
        <v>10000</v>
      </c>
      <c r="F23" s="20">
        <f>AUG!K23</f>
        <v>0</v>
      </c>
      <c r="G23" s="28">
        <f t="shared" si="0"/>
        <v>10000</v>
      </c>
      <c r="H23" s="79"/>
      <c r="I23" s="80"/>
      <c r="J23" s="81" t="s">
        <v>199</v>
      </c>
      <c r="K23" s="28">
        <f t="shared" si="1"/>
        <v>10000</v>
      </c>
      <c r="L23" s="32" t="s">
        <v>47</v>
      </c>
      <c r="M23" s="18" t="s">
        <v>25</v>
      </c>
    </row>
    <row r="24" spans="1:15">
      <c r="A24" s="33">
        <v>14</v>
      </c>
      <c r="B24" s="2" t="s">
        <v>176</v>
      </c>
      <c r="C24" s="25" t="s">
        <v>177</v>
      </c>
      <c r="D24" s="38"/>
      <c r="E24" s="27">
        <v>4500</v>
      </c>
      <c r="F24" s="20">
        <f>AUG!K24</f>
        <v>0</v>
      </c>
      <c r="G24" s="28">
        <f t="shared" si="0"/>
        <v>4500</v>
      </c>
      <c r="H24" s="79"/>
      <c r="I24" s="80"/>
      <c r="J24" s="81" t="s">
        <v>199</v>
      </c>
      <c r="K24" s="28">
        <f t="shared" si="1"/>
        <v>4500</v>
      </c>
      <c r="L24" s="32"/>
      <c r="M24" s="18" t="s">
        <v>25</v>
      </c>
    </row>
    <row r="25" spans="1:15">
      <c r="A25" s="33">
        <v>15</v>
      </c>
      <c r="B25" s="2" t="s">
        <v>49</v>
      </c>
      <c r="C25" s="25" t="s">
        <v>50</v>
      </c>
      <c r="D25" s="38">
        <v>0</v>
      </c>
      <c r="E25" s="27">
        <v>10000</v>
      </c>
      <c r="F25" s="20">
        <f>AUG!K25</f>
        <v>4000</v>
      </c>
      <c r="G25" s="28">
        <f t="shared" si="0"/>
        <v>14000</v>
      </c>
      <c r="H25" s="82">
        <f>3000</f>
        <v>3000</v>
      </c>
      <c r="I25" s="80" t="s">
        <v>202</v>
      </c>
      <c r="J25" s="81" t="s">
        <v>199</v>
      </c>
      <c r="K25" s="28">
        <f t="shared" si="1"/>
        <v>11000</v>
      </c>
      <c r="L25" s="40"/>
      <c r="M25" s="18" t="s">
        <v>25</v>
      </c>
    </row>
    <row r="26" spans="1:15">
      <c r="A26" s="33">
        <v>16</v>
      </c>
      <c r="B26" s="2" t="s">
        <v>112</v>
      </c>
      <c r="C26" s="25"/>
      <c r="D26" s="38"/>
      <c r="E26" s="27">
        <v>8000</v>
      </c>
      <c r="F26" s="20">
        <f>AUG!K26</f>
        <v>0</v>
      </c>
      <c r="G26" s="28">
        <f t="shared" si="0"/>
        <v>8000</v>
      </c>
      <c r="H26" s="82"/>
      <c r="I26" s="85"/>
      <c r="J26" s="81" t="s">
        <v>199</v>
      </c>
      <c r="K26" s="28">
        <f t="shared" si="1"/>
        <v>8000</v>
      </c>
      <c r="L26" s="40"/>
      <c r="M26" s="41"/>
    </row>
    <row r="27" spans="1:15">
      <c r="A27" s="33">
        <v>17</v>
      </c>
      <c r="B27" s="2" t="s">
        <v>51</v>
      </c>
      <c r="C27" s="25" t="s">
        <v>52</v>
      </c>
      <c r="D27" s="38"/>
      <c r="E27" s="27">
        <v>18000</v>
      </c>
      <c r="F27" s="20">
        <f>AUG!K27</f>
        <v>0</v>
      </c>
      <c r="G27" s="28">
        <f t="shared" si="0"/>
        <v>18000</v>
      </c>
      <c r="H27" s="82"/>
      <c r="I27" s="85"/>
      <c r="J27" s="81" t="s">
        <v>199</v>
      </c>
      <c r="K27" s="28">
        <f t="shared" si="1"/>
        <v>18000</v>
      </c>
      <c r="L27" s="40" t="s">
        <v>36</v>
      </c>
      <c r="M27" s="18" t="s">
        <v>25</v>
      </c>
    </row>
    <row r="28" spans="1:15">
      <c r="A28" s="33">
        <v>18</v>
      </c>
      <c r="B28" s="2" t="s">
        <v>99</v>
      </c>
      <c r="C28" s="25"/>
      <c r="D28" s="38"/>
      <c r="E28" s="27">
        <v>9000</v>
      </c>
      <c r="F28" s="20">
        <f>AUG!K28</f>
        <v>0</v>
      </c>
      <c r="G28" s="28">
        <f t="shared" si="0"/>
        <v>9000</v>
      </c>
      <c r="H28" s="82"/>
      <c r="I28" s="85"/>
      <c r="J28" s="81" t="s">
        <v>199</v>
      </c>
      <c r="K28" s="28">
        <f t="shared" si="1"/>
        <v>9000</v>
      </c>
      <c r="L28" s="40"/>
      <c r="M28" s="18" t="s">
        <v>25</v>
      </c>
      <c r="N28" s="11" t="s">
        <v>123</v>
      </c>
    </row>
    <row r="29" spans="1:15">
      <c r="A29" s="33">
        <v>19</v>
      </c>
      <c r="B29" s="2" t="s">
        <v>112</v>
      </c>
      <c r="C29" s="25"/>
      <c r="D29" s="38"/>
      <c r="E29" s="27">
        <v>10000</v>
      </c>
      <c r="F29" s="20">
        <f>AUG!K29</f>
        <v>0</v>
      </c>
      <c r="G29" s="28">
        <f t="shared" si="0"/>
        <v>10000</v>
      </c>
      <c r="H29" s="82"/>
      <c r="I29" s="85"/>
      <c r="J29" s="81" t="s">
        <v>199</v>
      </c>
      <c r="K29" s="28">
        <f t="shared" si="1"/>
        <v>10000</v>
      </c>
      <c r="L29" s="40"/>
      <c r="M29" s="41"/>
    </row>
    <row r="30" spans="1:15">
      <c r="A30" s="42" t="s">
        <v>55</v>
      </c>
      <c r="B30" s="33"/>
      <c r="C30" s="43"/>
      <c r="D30" s="34"/>
      <c r="E30" s="44">
        <f>SUM(E11:E29)</f>
        <v>132900</v>
      </c>
      <c r="F30" s="20">
        <f>SUM(F11:F29)</f>
        <v>24600</v>
      </c>
      <c r="G30" s="44">
        <f>SUM(G11:G29)</f>
        <v>157500</v>
      </c>
      <c r="H30" s="44">
        <f>SUM(H11:H29)</f>
        <v>7500</v>
      </c>
      <c r="I30" s="45"/>
      <c r="J30" s="44"/>
      <c r="K30" s="44">
        <f>SUM(K11:K29)</f>
        <v>150000</v>
      </c>
      <c r="L30" s="32"/>
      <c r="M30" s="46"/>
    </row>
    <row r="31" spans="1:15">
      <c r="A31" s="47" t="s">
        <v>56</v>
      </c>
      <c r="B31" s="2"/>
      <c r="C31" s="43"/>
      <c r="D31" s="48"/>
      <c r="E31" s="49"/>
      <c r="F31" s="50"/>
      <c r="G31" s="49"/>
      <c r="H31" s="49"/>
      <c r="I31" s="24"/>
      <c r="J31" s="1"/>
      <c r="K31" s="49"/>
      <c r="L31" s="49"/>
      <c r="M31" s="51"/>
    </row>
    <row r="32" spans="1:15">
      <c r="A32" s="2" t="s">
        <v>57</v>
      </c>
      <c r="B32" s="2"/>
      <c r="C32" s="43"/>
      <c r="D32" s="2"/>
      <c r="E32" s="52"/>
      <c r="F32" s="20"/>
      <c r="G32" s="2"/>
      <c r="H32" s="53">
        <f>10%*H30</f>
        <v>750</v>
      </c>
      <c r="I32" s="54"/>
      <c r="J32" s="2"/>
      <c r="K32" s="2"/>
      <c r="L32" s="2"/>
      <c r="M32" s="55"/>
    </row>
    <row r="33" spans="1:13">
      <c r="A33" s="2" t="s">
        <v>58</v>
      </c>
      <c r="B33" s="2"/>
      <c r="C33" s="43"/>
      <c r="D33" s="2"/>
      <c r="E33" s="52"/>
      <c r="F33" s="20"/>
      <c r="G33" s="2"/>
      <c r="H33" s="77">
        <f>H13+H29+H26+H19+H24</f>
        <v>0</v>
      </c>
      <c r="I33" s="54"/>
      <c r="J33" s="2"/>
      <c r="K33" s="2"/>
      <c r="L33" s="2"/>
      <c r="M33" s="55"/>
    </row>
    <row r="34" spans="1:13">
      <c r="A34" s="15" t="s">
        <v>59</v>
      </c>
      <c r="B34" s="15"/>
      <c r="C34" s="15"/>
      <c r="D34" s="15"/>
      <c r="E34" s="15"/>
      <c r="F34" s="57"/>
      <c r="G34" s="15"/>
      <c r="H34" s="58">
        <f>SUM(H32:H33)</f>
        <v>750</v>
      </c>
      <c r="I34" s="59"/>
      <c r="J34" s="15"/>
      <c r="K34" s="15" t="s">
        <v>60</v>
      </c>
      <c r="L34" s="15"/>
      <c r="M34" s="60"/>
    </row>
    <row r="35" spans="1:13">
      <c r="A35" s="15" t="s">
        <v>61</v>
      </c>
      <c r="B35" s="15"/>
      <c r="C35" s="15"/>
      <c r="D35" s="15"/>
      <c r="E35" s="15"/>
      <c r="F35" s="57"/>
      <c r="G35" s="15"/>
      <c r="H35" s="58">
        <f>AUG!K37</f>
        <v>12460</v>
      </c>
      <c r="I35" s="59"/>
      <c r="J35" s="15"/>
      <c r="K35" s="15"/>
      <c r="L35" s="15" t="s">
        <v>60</v>
      </c>
      <c r="M35" s="60"/>
    </row>
    <row r="36" spans="1:13">
      <c r="A36" s="2"/>
      <c r="B36" s="2"/>
      <c r="C36" s="2"/>
      <c r="D36" s="2"/>
      <c r="E36" s="2"/>
      <c r="F36" s="20"/>
      <c r="G36" s="2"/>
      <c r="H36" s="53"/>
      <c r="I36" s="62" t="s">
        <v>62</v>
      </c>
      <c r="J36" s="62" t="s">
        <v>62</v>
      </c>
      <c r="K36" s="62" t="s">
        <v>63</v>
      </c>
      <c r="L36" s="62"/>
      <c r="M36" s="55"/>
    </row>
    <row r="37" spans="1:13" ht="16.5" thickBot="1">
      <c r="A37" s="1" t="s">
        <v>64</v>
      </c>
      <c r="B37" s="1"/>
      <c r="C37" s="1"/>
      <c r="D37" s="1"/>
      <c r="E37" s="1"/>
      <c r="F37" s="50"/>
      <c r="G37" s="1"/>
      <c r="H37" s="63">
        <f>H30-H34+H35</f>
        <v>19210</v>
      </c>
      <c r="I37" s="64"/>
      <c r="J37" s="57"/>
      <c r="K37" s="65">
        <f>H37-I37-J37</f>
        <v>19210</v>
      </c>
      <c r="L37" s="57"/>
      <c r="M37" s="60"/>
    </row>
    <row r="38" spans="1:13" ht="16.5" thickTop="1">
      <c r="A38" s="2" t="s">
        <v>65</v>
      </c>
      <c r="B38" s="2"/>
      <c r="C38" s="2"/>
      <c r="D38" s="2"/>
      <c r="E38" s="2"/>
      <c r="F38" s="20"/>
      <c r="G38" s="2"/>
      <c r="H38" s="2"/>
      <c r="I38" s="54"/>
      <c r="J38" s="2"/>
      <c r="K38" s="66">
        <v>46295</v>
      </c>
      <c r="L38" s="67"/>
      <c r="M38" s="68"/>
    </row>
    <row r="41" spans="1:13">
      <c r="H41" s="11">
        <f>H30/G30*100</f>
        <v>4.7619047619047619</v>
      </c>
    </row>
    <row r="43" spans="1:13">
      <c r="K43" s="11">
        <f>18400+32000</f>
        <v>50400</v>
      </c>
    </row>
  </sheetData>
  <mergeCells count="1">
    <mergeCell ref="A3:K3"/>
  </mergeCells>
  <pageMargins left="0.25" right="0.25" top="0.75" bottom="0.75" header="0.3" footer="0.3"/>
  <pageSetup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JAN</vt:lpstr>
      <vt:lpstr>FEB</vt:lpstr>
      <vt:lpstr>MAR</vt:lpstr>
      <vt:lpstr>APR</vt:lpstr>
      <vt:lpstr>MAY</vt:lpstr>
      <vt:lpstr>JUNE</vt:lpstr>
      <vt:lpstr>JULY</vt:lpstr>
      <vt:lpstr>AUG</vt:lpstr>
      <vt:lpstr>SEP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Lobby Managers</dc:creator>
  <cp:lastModifiedBy>PC</cp:lastModifiedBy>
  <cp:lastPrinted>2026-09-01T14:54:28Z</cp:lastPrinted>
  <dcterms:created xsi:type="dcterms:W3CDTF">2026-01-03T08:44:43Z</dcterms:created>
  <dcterms:modified xsi:type="dcterms:W3CDTF">2026-09-05T13:24:07Z</dcterms:modified>
</cp:coreProperties>
</file>
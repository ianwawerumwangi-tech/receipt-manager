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050" activeTab="5"/>
  </bookViews>
  <sheets>
    <sheet name="JAN" sheetId="1" r:id="rId1"/>
    <sheet name="FEB" sheetId="2" r:id="rId2"/>
    <sheet name="MAR" sheetId="3" r:id="rId3"/>
    <sheet name="APR" sheetId="4" r:id="rId4"/>
    <sheet name="MAY" sheetId="5" r:id="rId5"/>
    <sheet name="JUNE" sheetId="6" r:id="rId6"/>
    <sheet name="JULY" sheetId="7" r:id="rId7"/>
    <sheet name="AUG" sheetId="8" r:id="rId8"/>
    <sheet name="SEP" sheetId="9" r:id="rId9"/>
    <sheet name="OCT" sheetId="10" r:id="rId10"/>
  </sheets>
  <externalReferences>
    <externalReference r:id="rId11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<sst xmlns="http://schemas.openxmlformats.org/spreadsheetml/2006/main" count="1130" uniqueCount="230">
  <si>
    <t>LOBBY ENTERPRISES</t>
  </si>
  <si>
    <t xml:space="preserve">                                                          PROPERTY MANAGERS AND ESTATE AGENTS</t>
  </si>
  <si>
    <t>P.O.BOX 11987</t>
  </si>
  <si>
    <t>TEL : 0722711933/4454322</t>
  </si>
  <si>
    <t>KABAIKU</t>
  </si>
  <si>
    <t>Care taker</t>
  </si>
  <si>
    <t>Phone no</t>
  </si>
  <si>
    <t xml:space="preserve"> </t>
  </si>
  <si>
    <t>HSE NO</t>
  </si>
  <si>
    <t>NAME</t>
  </si>
  <si>
    <t>PHONE NO</t>
  </si>
  <si>
    <t>DEPOSIT PAID</t>
  </si>
  <si>
    <t>MONTHLY RENT</t>
  </si>
  <si>
    <t>BAL B/D</t>
  </si>
  <si>
    <t>RENT DUE</t>
  </si>
  <si>
    <t>RENT PAID</t>
  </si>
  <si>
    <t>RCT NO</t>
  </si>
  <si>
    <t>PERIOD</t>
  </si>
  <si>
    <t>BALANCE</t>
  </si>
  <si>
    <t>STATUS</t>
  </si>
  <si>
    <t>FORMS</t>
  </si>
  <si>
    <t>LLD</t>
  </si>
  <si>
    <t>JAN</t>
  </si>
  <si>
    <t>ELIJAH</t>
  </si>
  <si>
    <t>DIRECT</t>
  </si>
  <si>
    <t>JOSEPH KITHUKU</t>
  </si>
  <si>
    <t>01113299379</t>
  </si>
  <si>
    <t>NELSON KHAVUSHIRWA</t>
  </si>
  <si>
    <t>0111590680</t>
  </si>
  <si>
    <t>UAOP73JQVS/UAGP73Z77H</t>
  </si>
  <si>
    <t>VACANT</t>
  </si>
  <si>
    <t>PETER( KINYANJUI POLLY)</t>
  </si>
  <si>
    <t>NEW TENANT</t>
  </si>
  <si>
    <t>UAKI44AIXD</t>
  </si>
  <si>
    <t>JOSEPH NJENGA</t>
  </si>
  <si>
    <t>0755390895</t>
  </si>
  <si>
    <t>UAFC441MGS/UAKC44FW8R</t>
  </si>
  <si>
    <t>PETER KINYANJUI</t>
  </si>
  <si>
    <t>MICHAEL</t>
  </si>
  <si>
    <t>TENANT</t>
  </si>
  <si>
    <t>ISAYA ONDUNGA</t>
  </si>
  <si>
    <t>0721854507</t>
  </si>
  <si>
    <t>UAE6A3Q5J1</t>
  </si>
  <si>
    <t>martin/BRADINA</t>
  </si>
  <si>
    <t>0702306957</t>
  </si>
  <si>
    <t>UA56A2XD9G</t>
  </si>
  <si>
    <t>ELECTINA AKHURA</t>
  </si>
  <si>
    <t>0711949488</t>
  </si>
  <si>
    <t>UAKP147QJ8</t>
  </si>
  <si>
    <t>ERIC MUNYWOKI</t>
  </si>
  <si>
    <t>UACE53M4LT</t>
  </si>
  <si>
    <t>16/5</t>
  </si>
  <si>
    <t>PHILIS MUTHONI</t>
  </si>
  <si>
    <t>0707135975</t>
  </si>
  <si>
    <t>UAAEB3F0I6</t>
  </si>
  <si>
    <t>SIGNED</t>
  </si>
  <si>
    <t>CHRIS MUTETHIA</t>
  </si>
  <si>
    <t>0101270483</t>
  </si>
  <si>
    <t>UAIOM44OV7/UAOOM4Q47N/UAVOM5CYJL</t>
  </si>
  <si>
    <t>MOSES NDWIGA</t>
  </si>
  <si>
    <t>0708870237</t>
  </si>
  <si>
    <t>UACR53GSUY</t>
  </si>
  <si>
    <t>Totals</t>
  </si>
  <si>
    <t>Deductions</t>
  </si>
  <si>
    <t>Less Management fees</t>
  </si>
  <si>
    <t>CHIEF EVICTION FEE HSE 14</t>
  </si>
  <si>
    <t xml:space="preserve">DIRECT </t>
  </si>
  <si>
    <t>TOTAL DEDUCTIONS</t>
  </si>
  <si>
    <t>BAL B/F</t>
  </si>
  <si>
    <t>Cash deposited</t>
  </si>
  <si>
    <t>Paid</t>
  </si>
  <si>
    <t>Balance</t>
  </si>
  <si>
    <t>AMOUNT DUE</t>
  </si>
  <si>
    <t>AUTHORISED BY JOSEPH GITHINJI</t>
  </si>
  <si>
    <t xml:space="preserve">  </t>
  </si>
  <si>
    <t>mpesa</t>
  </si>
  <si>
    <t>direct</t>
  </si>
  <si>
    <t>FEB</t>
  </si>
  <si>
    <t>UB88565E10</t>
  </si>
  <si>
    <t>UBFP76RQV2</t>
  </si>
  <si>
    <t>LOCKED</t>
  </si>
  <si>
    <t>28TH JAN</t>
  </si>
  <si>
    <t>UBRC4817FF</t>
  </si>
  <si>
    <t>UB9IH67ISI/UBGIH6VKJT</t>
  </si>
  <si>
    <t>UB9I4665NC</t>
  </si>
  <si>
    <t>JAMES OTIENO</t>
  </si>
  <si>
    <t>UBH896XHSO</t>
  </si>
  <si>
    <t>UBC6A6HE86</t>
  </si>
  <si>
    <t>18TH</t>
  </si>
  <si>
    <t>UBEE56P5QV</t>
  </si>
  <si>
    <t>UB9EB69MN</t>
  </si>
  <si>
    <t>UBFOM6QNBS</t>
  </si>
  <si>
    <t>MAR</t>
  </si>
  <si>
    <t>ELIJAH ONDENGO</t>
  </si>
  <si>
    <t>UCC85946UR</t>
  </si>
  <si>
    <t>UCGEX9QVDB</t>
  </si>
  <si>
    <t>UCKP79WSRU</t>
  </si>
  <si>
    <t>EVICT</t>
  </si>
  <si>
    <t>JOSPHAT OTIENO</t>
  </si>
  <si>
    <t>UCI59RO8J</t>
  </si>
  <si>
    <t>JOSPAT KINZI</t>
  </si>
  <si>
    <t>UC5DN8BXQ2</t>
  </si>
  <si>
    <t>ZUCS/UCC49SVL6</t>
  </si>
  <si>
    <t>UCIIH9Q4W9</t>
  </si>
  <si>
    <t>UCMI4A4ZUB</t>
  </si>
  <si>
    <t>UCJ899SBB3</t>
  </si>
  <si>
    <t>UCE6A9A710</t>
  </si>
  <si>
    <t>UC70B8KJ0O</t>
  </si>
  <si>
    <t>UCAE58X8CF</t>
  </si>
  <si>
    <t>UCAEB8YNV0</t>
  </si>
  <si>
    <t>15TH</t>
  </si>
  <si>
    <t>UC6R58F1CC/UCOR5A79LD</t>
  </si>
  <si>
    <t>CHIEF EVICTION HSE 12</t>
  </si>
  <si>
    <t>Rental Tax</t>
  </si>
  <si>
    <t>APR</t>
  </si>
  <si>
    <t>UDA850HG3S</t>
  </si>
  <si>
    <t>RCTD</t>
  </si>
  <si>
    <t>LOCJED</t>
  </si>
  <si>
    <t>UD2P7BC6QL</t>
  </si>
  <si>
    <t>FREDRICK OTIENO</t>
  </si>
  <si>
    <t>0704917113</t>
  </si>
  <si>
    <t>UDM7M1W2S4</t>
  </si>
  <si>
    <t>UD9I80BSAW</t>
  </si>
  <si>
    <t>JOSPHAT KINZI</t>
  </si>
  <si>
    <t>UD2DNB7VAE</t>
  </si>
  <si>
    <t>JOSEPH NJENGA/ELIZABETH</t>
  </si>
  <si>
    <r>
      <rPr>
        <sz val="8"/>
        <rFont val="Calibri"/>
        <charset val="134"/>
        <scheme val="minor"/>
      </rPr>
      <t>UD7C407S62/UDEC411NHL/</t>
    </r>
    <r>
      <rPr>
        <sz val="8"/>
        <color rgb="FFFF0000"/>
        <rFont val="Calibri"/>
        <charset val="134"/>
        <scheme val="minor"/>
      </rPr>
      <t>2369</t>
    </r>
  </si>
  <si>
    <t>UDHIH1627K/UDLHI1MQTR</t>
  </si>
  <si>
    <t>UDRI426XI0</t>
  </si>
  <si>
    <t>UD389BC4OX/UDE830VT9B</t>
  </si>
  <si>
    <t>UDC6A0ZWB</t>
  </si>
  <si>
    <t>UDRI426UUB</t>
  </si>
  <si>
    <t>STEPHEN ORIAH</t>
  </si>
  <si>
    <t>UDI0B17LJH</t>
  </si>
  <si>
    <t>UDEE50SRCW</t>
  </si>
  <si>
    <t>UD8EB09BG5</t>
  </si>
  <si>
    <t>UDFR50RK9C</t>
  </si>
  <si>
    <t>MAY</t>
  </si>
  <si>
    <t>UEB8542MIT</t>
  </si>
  <si>
    <t>UEBP73ZFAZ</t>
  </si>
  <si>
    <t>UEP7M5RSYA</t>
  </si>
  <si>
    <t>UE7I83LDY0</t>
  </si>
  <si>
    <t>UE1DN2L8G</t>
  </si>
  <si>
    <t>UEFC44OWUW</t>
  </si>
  <si>
    <t>UEAIH3R2KA/UEPIH5GKKQ</t>
  </si>
  <si>
    <t>ISAAC JUMA</t>
  </si>
  <si>
    <t>UEA6A3OJ0P</t>
  </si>
  <si>
    <t>UEBE53VWF6/UEOE55ELTJ</t>
  </si>
  <si>
    <t>MOVED OUT</t>
  </si>
  <si>
    <t>UE7EB3KRZM</t>
  </si>
  <si>
    <t>UEKR54PQ8K</t>
  </si>
  <si>
    <t>RENTAL TAX</t>
  </si>
  <si>
    <t>JUNE</t>
  </si>
  <si>
    <t>UF78573J31/direct</t>
  </si>
  <si>
    <t>UF27M6P36A/UFPHS90C95/UG2HS9CZT9</t>
  </si>
  <si>
    <t>UFJI88FVXF</t>
  </si>
  <si>
    <t>UF5DN6JK1M</t>
  </si>
  <si>
    <t>UF5C472PM6</t>
  </si>
  <si>
    <t>UF6IH6V8H2/UFJ7Y86L1N</t>
  </si>
  <si>
    <t>UF3CI6H5D8/UF3CI6LA3J/UFLCI8OREC/UFTCI9JL0I</t>
  </si>
  <si>
    <t>UF989758EM/UFKSG283DJ</t>
  </si>
  <si>
    <t>UFE6A70D2V</t>
  </si>
  <si>
    <t>UF9EB7FSXZ</t>
  </si>
  <si>
    <t>STEPHEN OTIENO</t>
  </si>
  <si>
    <t>0746470193</t>
  </si>
  <si>
    <t>UFJR58686N</t>
  </si>
  <si>
    <t>JULY</t>
  </si>
  <si>
    <t>NORMAN  MAGWI</t>
  </si>
  <si>
    <t>UG43MAWRWP/DIRECT</t>
  </si>
  <si>
    <t>0722245769</t>
  </si>
  <si>
    <t>UGD85BAV85</t>
  </si>
  <si>
    <t>UG7I8AJUHA</t>
  </si>
  <si>
    <t>UG8DNABKAO/UGNDN030Y1</t>
  </si>
  <si>
    <t>UG6C4AQZ7T</t>
  </si>
  <si>
    <t>ALEX MBINDYO</t>
  </si>
  <si>
    <t>UGB7YAPBT1/UGI7YBGYUT</t>
  </si>
  <si>
    <t>isaac uma</t>
  </si>
  <si>
    <t>UGKCI00NZZ/UGQCI0RAHI/UGOCI0JRR4</t>
  </si>
  <si>
    <t>TO EVICT</t>
  </si>
  <si>
    <t>UGB6AAT266</t>
  </si>
  <si>
    <t>JAEL MUTAKHE</t>
  </si>
  <si>
    <t>UG5I4A57UX/UG51GACYN6</t>
  </si>
  <si>
    <t>UG65CADU2D</t>
  </si>
  <si>
    <t>EUNICE NJOKI</t>
  </si>
  <si>
    <t>0118271368</t>
  </si>
  <si>
    <t>UGDDNAW2LR/UGEDNB38E9</t>
  </si>
  <si>
    <t>UG6EBAJQII</t>
  </si>
  <si>
    <t>UGLR5BSGH6</t>
  </si>
  <si>
    <t>AUG</t>
  </si>
  <si>
    <t>UHI3M43V85</t>
  </si>
  <si>
    <t>UH67M2A9U7</t>
  </si>
  <si>
    <t>UHBI82LEQK</t>
  </si>
  <si>
    <t>UHE7E2Q3QJ</t>
  </si>
  <si>
    <t>UHF7Y2QJKV</t>
  </si>
  <si>
    <t>UHNCI40P1N</t>
  </si>
  <si>
    <t>UHE6A2O69T</t>
  </si>
  <si>
    <t>UHCP121ELN</t>
  </si>
  <si>
    <t>UHHG5C33YNP/UHHE5C2VEOK</t>
  </si>
  <si>
    <t>UH8DN1WPCX</t>
  </si>
  <si>
    <t>UH8EB2H06M</t>
  </si>
  <si>
    <t>SEP</t>
  </si>
  <si>
    <t>0715604050</t>
  </si>
  <si>
    <t>UID3M78VXR</t>
  </si>
  <si>
    <t>UHL853V9PT/UIB856H1W4/UIO8581H5H</t>
  </si>
  <si>
    <t>UIA7M6AKKD</t>
  </si>
  <si>
    <t>0741868972</t>
  </si>
  <si>
    <t>UIDI86H456</t>
  </si>
  <si>
    <t>UI84H6QQRC2/UIC4H6VNSY</t>
  </si>
  <si>
    <t>UI6C460KAN</t>
  </si>
  <si>
    <t>0721300663</t>
  </si>
  <si>
    <t>UIB7Y55NBQ/UIC7Y6O844/UI7Y657MR</t>
  </si>
  <si>
    <t>0721112662</t>
  </si>
  <si>
    <t>DIRECT/UICCI6F3G0</t>
  </si>
  <si>
    <t>JAMES OCHIENG</t>
  </si>
  <si>
    <t>UIJBT717ZB/UIJBT711HK</t>
  </si>
  <si>
    <t>UIF6A6G2M8</t>
  </si>
  <si>
    <t>0119652370</t>
  </si>
  <si>
    <t>073903831</t>
  </si>
  <si>
    <t>UI4P159BSP</t>
  </si>
  <si>
    <t>0736048010</t>
  </si>
  <si>
    <t>UILDN749TU</t>
  </si>
  <si>
    <t>UI8EB625ER</t>
  </si>
  <si>
    <t>EVANS NDEGE</t>
  </si>
  <si>
    <t>0715030807</t>
  </si>
  <si>
    <t>ZACHARY ODERO</t>
  </si>
  <si>
    <t>0796494141</t>
  </si>
  <si>
    <t>UIQI188E3R</t>
  </si>
  <si>
    <t>OCT BOOKING</t>
  </si>
  <si>
    <t>UIER5674B5</t>
  </si>
  <si>
    <t>OCT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</si>
</sst>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  <numFmt numFmtId="178" formatCode="_-* #,##0.00_-;\-* #,##0.00_-;_-* &quot;-&quot;??_-;_-@_-"/>
  </numFmts>
  <fonts count="3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8"/>
      <color rgb="FF00B0F0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8"/>
      <color rgb="FFFF0000"/>
      <name val="Calibri"/>
      <charset val="134"/>
      <scheme val="minor"/>
    </font>
    <font>
      <b/>
      <sz val="8"/>
      <color theme="1"/>
      <name val="Calibri"/>
      <charset val="134"/>
      <scheme val="minor"/>
    </font>
    <font>
      <sz val="8"/>
      <name val="Calibri"/>
      <charset val="134"/>
      <scheme val="minor"/>
    </font>
    <font>
      <sz val="8"/>
      <color rgb="FFFF0000"/>
      <name val="Calibri"/>
      <charset val="134"/>
      <scheme val="minor"/>
    </font>
    <font>
      <b/>
      <sz val="8"/>
      <name val="Calibri"/>
      <charset val="134"/>
      <scheme val="minor"/>
    </font>
    <font>
      <b/>
      <u val="singleAccounting"/>
      <sz val="8"/>
      <color theme="1"/>
      <name val="Calibri"/>
      <charset val="134"/>
      <scheme val="minor"/>
    </font>
    <font>
      <b/>
      <sz val="8"/>
      <color rgb="FF000000"/>
      <name val="Calibri"/>
      <charset val="134"/>
      <scheme val="minor"/>
    </font>
    <font>
      <b/>
      <u/>
      <sz val="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7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1" fillId="0" borderId="0"/>
  </cellStyleXfs>
  <cellXfs count="82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43" fontId="2" fillId="0" borderId="1" xfId="1" applyFont="1" applyFill="1" applyBorder="1" applyAlignment="1">
      <alignment horizontal="left"/>
    </xf>
    <xf numFmtId="0" fontId="4" fillId="0" borderId="1" xfId="0" applyFont="1" applyBorder="1"/>
    <xf numFmtId="3" fontId="2" fillId="0" borderId="1" xfId="1" applyNumberFormat="1" applyFont="1" applyFill="1" applyBorder="1"/>
    <xf numFmtId="43" fontId="2" fillId="0" borderId="1" xfId="1" applyFont="1" applyFill="1" applyBorder="1"/>
    <xf numFmtId="0" fontId="2" fillId="0" borderId="1" xfId="1" applyNumberFormat="1" applyFont="1" applyFill="1" applyBorder="1"/>
    <xf numFmtId="43" fontId="4" fillId="0" borderId="1" xfId="1" applyFont="1" applyFill="1" applyBorder="1"/>
    <xf numFmtId="17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3" fontId="5" fillId="0" borderId="1" xfId="1" applyFont="1" applyFill="1" applyBorder="1"/>
    <xf numFmtId="0" fontId="5" fillId="0" borderId="1" xfId="0" applyFont="1" applyBorder="1"/>
    <xf numFmtId="3" fontId="5" fillId="0" borderId="1" xfId="1" applyNumberFormat="1" applyFont="1" applyFill="1" applyBorder="1"/>
    <xf numFmtId="0" fontId="5" fillId="0" borderId="1" xfId="1" applyNumberFormat="1" applyFont="1" applyFill="1" applyBorder="1"/>
    <xf numFmtId="3" fontId="3" fillId="0" borderId="1" xfId="0" applyNumberFormat="1" applyFont="1" applyBorder="1"/>
    <xf numFmtId="43" fontId="5" fillId="0" borderId="1" xfId="1" applyFont="1" applyFill="1" applyBorder="1" applyAlignment="1">
      <alignment horizontal="right"/>
    </xf>
    <xf numFmtId="43" fontId="2" fillId="0" borderId="1" xfId="1" applyFont="1" applyFill="1" applyBorder="1" applyAlignment="1">
      <alignment horizontal="right" wrapText="1"/>
    </xf>
    <xf numFmtId="43" fontId="2" fillId="0" borderId="1" xfId="1" applyFont="1" applyFill="1" applyBorder="1" applyAlignment="1">
      <alignment wrapText="1"/>
    </xf>
    <xf numFmtId="43" fontId="2" fillId="0" borderId="1" xfId="1" applyFont="1" applyFill="1" applyBorder="1" applyAlignment="1">
      <alignment horizontal="center"/>
    </xf>
    <xf numFmtId="0" fontId="6" fillId="0" borderId="1" xfId="0" applyFont="1" applyBorder="1"/>
    <xf numFmtId="3" fontId="6" fillId="0" borderId="1" xfId="1" applyNumberFormat="1" applyFont="1" applyFill="1" applyBorder="1"/>
    <xf numFmtId="43" fontId="6" fillId="0" borderId="1" xfId="1" applyFont="1" applyFill="1" applyBorder="1" applyAlignment="1">
      <alignment horizontal="center"/>
    </xf>
    <xf numFmtId="43" fontId="2" fillId="2" borderId="1" xfId="1" applyFont="1" applyFill="1" applyBorder="1"/>
    <xf numFmtId="0" fontId="2" fillId="2" borderId="1" xfId="0" applyFont="1" applyFill="1" applyBorder="1"/>
    <xf numFmtId="17" fontId="3" fillId="2" borderId="1" xfId="0" applyNumberFormat="1" applyFont="1" applyFill="1" applyBorder="1" applyAlignment="1">
      <alignment horizontal="center"/>
    </xf>
    <xf numFmtId="43" fontId="3" fillId="0" borderId="1" xfId="1" applyFont="1" applyFill="1" applyBorder="1" applyAlignment="1">
      <alignment horizontal="right" wrapText="1"/>
    </xf>
    <xf numFmtId="177" fontId="6" fillId="0" borderId="1" xfId="1" applyNumberFormat="1" applyFont="1" applyFill="1" applyBorder="1" applyAlignment="1">
      <alignment horizontal="right"/>
    </xf>
    <xf numFmtId="177" fontId="3" fillId="2" borderId="1" xfId="1" applyNumberFormat="1" applyFont="1" applyFill="1" applyBorder="1"/>
    <xf numFmtId="0" fontId="7" fillId="2" borderId="1" xfId="0" applyFont="1" applyFill="1" applyBorder="1"/>
    <xf numFmtId="43" fontId="3" fillId="0" borderId="1" xfId="1" applyFont="1" applyFill="1" applyBorder="1"/>
    <xf numFmtId="49" fontId="3" fillId="0" borderId="1" xfId="0" applyNumberFormat="1" applyFont="1" applyBorder="1"/>
    <xf numFmtId="0" fontId="3" fillId="2" borderId="1" xfId="0" applyFont="1" applyFill="1" applyBorder="1"/>
    <xf numFmtId="58" fontId="5" fillId="0" borderId="1" xfId="0" applyNumberFormat="1" applyFont="1" applyBorder="1"/>
    <xf numFmtId="43" fontId="3" fillId="0" borderId="1" xfId="0" applyNumberFormat="1" applyFont="1" applyBorder="1"/>
    <xf numFmtId="177" fontId="6" fillId="2" borderId="1" xfId="1" applyNumberFormat="1" applyFont="1" applyFill="1" applyBorder="1"/>
    <xf numFmtId="16" fontId="6" fillId="0" borderId="1" xfId="0" applyNumberFormat="1" applyFont="1" applyBorder="1"/>
    <xf numFmtId="0" fontId="6" fillId="2" borderId="1" xfId="0" applyFont="1" applyFill="1" applyBorder="1"/>
    <xf numFmtId="0" fontId="3" fillId="0" borderId="0" xfId="0" applyFont="1"/>
    <xf numFmtId="177" fontId="8" fillId="0" borderId="1" xfId="0" applyNumberFormat="1" applyFont="1" applyBorder="1" applyAlignment="1">
      <alignment horizontal="right"/>
    </xf>
    <xf numFmtId="43" fontId="8" fillId="0" borderId="1" xfId="0" applyNumberFormat="1" applyFont="1" applyBorder="1" applyAlignment="1">
      <alignment horizontal="right"/>
    </xf>
    <xf numFmtId="0" fontId="8" fillId="0" borderId="1" xfId="0" applyFont="1" applyBorder="1"/>
    <xf numFmtId="43" fontId="2" fillId="0" borderId="1" xfId="0" applyNumberFormat="1" applyFont="1" applyBorder="1" applyAlignment="1">
      <alignment horizontal="right"/>
    </xf>
    <xf numFmtId="43" fontId="2" fillId="0" borderId="1" xfId="0" applyNumberFormat="1" applyFont="1" applyBorder="1"/>
    <xf numFmtId="3" fontId="2" fillId="0" borderId="1" xfId="0" applyNumberFormat="1" applyFont="1" applyBorder="1"/>
    <xf numFmtId="43" fontId="2" fillId="0" borderId="1" xfId="0" applyNumberFormat="1" applyFont="1" applyBorder="1" applyAlignment="1">
      <alignment horizontal="left"/>
    </xf>
    <xf numFmtId="178" fontId="3" fillId="0" borderId="1" xfId="1" applyNumberFormat="1" applyFont="1" applyFill="1" applyBorder="1"/>
    <xf numFmtId="3" fontId="5" fillId="0" borderId="1" xfId="0" applyNumberFormat="1" applyFont="1" applyBorder="1"/>
    <xf numFmtId="177" fontId="9" fillId="0" borderId="1" xfId="1" applyNumberFormat="1" applyFont="1" applyFill="1" applyBorder="1"/>
    <xf numFmtId="3" fontId="10" fillId="0" borderId="1" xfId="0" applyNumberFormat="1" applyFont="1" applyBorder="1" applyAlignment="1">
      <alignment wrapText="1"/>
    </xf>
    <xf numFmtId="0" fontId="11" fillId="0" borderId="1" xfId="0" applyFont="1" applyBorder="1"/>
    <xf numFmtId="0" fontId="0" fillId="0" borderId="1" xfId="0" applyBorder="1"/>
    <xf numFmtId="177" fontId="2" fillId="0" borderId="2" xfId="1" applyNumberFormat="1" applyFont="1" applyFill="1" applyBorder="1"/>
    <xf numFmtId="3" fontId="5" fillId="0" borderId="1" xfId="0" applyNumberFormat="1" applyFont="1" applyBorder="1" applyAlignment="1">
      <alignment horizontal="center"/>
    </xf>
    <xf numFmtId="58" fontId="5" fillId="0" borderId="1" xfId="1" applyNumberFormat="1" applyFont="1" applyFill="1" applyBorder="1"/>
    <xf numFmtId="58" fontId="3" fillId="0" borderId="1" xfId="1" applyNumberFormat="1" applyFont="1" applyFill="1" applyBorder="1"/>
    <xf numFmtId="177" fontId="0" fillId="0" borderId="0" xfId="0" applyNumberFormat="1"/>
    <xf numFmtId="177" fontId="3" fillId="3" borderId="1" xfId="1" applyNumberFormat="1" applyFont="1" applyFill="1" applyBorder="1"/>
    <xf numFmtId="0" fontId="3" fillId="3" borderId="1" xfId="0" applyFont="1" applyFill="1" applyBorder="1"/>
    <xf numFmtId="177" fontId="6" fillId="3" borderId="1" xfId="1" applyNumberFormat="1" applyFont="1" applyFill="1" applyBorder="1"/>
    <xf numFmtId="0" fontId="6" fillId="3" borderId="1" xfId="0" applyFont="1" applyFill="1" applyBorder="1"/>
    <xf numFmtId="0" fontId="2" fillId="3" borderId="1" xfId="0" applyFont="1" applyFill="1" applyBorder="1"/>
    <xf numFmtId="0" fontId="4" fillId="2" borderId="1" xfId="0" applyFont="1" applyFill="1" applyBorder="1"/>
    <xf numFmtId="0" fontId="6" fillId="2" borderId="1" xfId="1" applyNumberFormat="1" applyFont="1" applyFill="1" applyBorder="1" applyAlignment="1">
      <alignment horizontal="center"/>
    </xf>
    <xf numFmtId="0" fontId="6" fillId="2" borderId="3" xfId="1" applyNumberFormat="1" applyFont="1" applyFill="1" applyBorder="1" applyAlignment="1">
      <alignment horizontal="center"/>
    </xf>
    <xf numFmtId="177" fontId="3" fillId="2" borderId="4" xfId="1" applyNumberFormat="1" applyFont="1" applyFill="1" applyBorder="1"/>
    <xf numFmtId="17" fontId="3" fillId="2" borderId="5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6" fillId="2" borderId="6" xfId="1" applyNumberFormat="1" applyFont="1" applyFill="1" applyBorder="1" applyAlignment="1">
      <alignment horizontal="center"/>
    </xf>
    <xf numFmtId="0" fontId="3" fillId="2" borderId="1" xfId="1" applyNumberFormat="1" applyFont="1" applyFill="1" applyBorder="1" applyAlignment="1">
      <alignment horizontal="center"/>
    </xf>
    <xf numFmtId="17" fontId="3" fillId="0" borderId="1" xfId="0" applyNumberFormat="1" applyFont="1" applyBorder="1" applyAlignment="1">
      <alignment horizontal="center"/>
    </xf>
    <xf numFmtId="177" fontId="3" fillId="0" borderId="1" xfId="1" applyNumberFormat="1" applyFont="1" applyFill="1" applyBorder="1"/>
    <xf numFmtId="0" fontId="6" fillId="3" borderId="1" xfId="1" applyNumberFormat="1" applyFont="1" applyFill="1" applyBorder="1" applyAlignment="1">
      <alignment horizontal="center"/>
    </xf>
    <xf numFmtId="0" fontId="6" fillId="0" borderId="1" xfId="1" applyNumberFormat="1" applyFont="1" applyFill="1" applyBorder="1" applyAlignment="1">
      <alignment horizontal="center"/>
    </xf>
    <xf numFmtId="177" fontId="6" fillId="0" borderId="1" xfId="1" applyNumberFormat="1" applyFont="1" applyFill="1" applyBorder="1"/>
    <xf numFmtId="0" fontId="6" fillId="3" borderId="0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1" xfId="1" applyNumberFormat="1" applyFont="1" applyFill="1" applyBorder="1" applyAlignment="1">
      <alignment horizontal="center"/>
    </xf>
    <xf numFmtId="0" fontId="6" fillId="0" borderId="0" xfId="1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1" applyNumberFormat="1" applyFont="1" applyFill="1" applyBorder="1" applyAlignment="1">
      <alignment horizontal="center"/>
    </xf>
    <xf numFmtId="49" fontId="3" fillId="0" borderId="1" xfId="0" applyNumberFormat="1" applyFont="1" applyBorder="1" quotePrefix="1"/>
    <xf numFmtId="0" fontId="3" fillId="0" borderId="1" xfId="1" applyNumberFormat="1" applyFont="1" applyFill="1" applyBorder="1" applyAlignment="1" quotePrefix="1">
      <alignment horizontal="center"/>
    </xf>
    <xf numFmtId="16" fontId="6" fillId="0" borderId="1" xfId="0" applyNumberFormat="1" applyFont="1" applyBorder="1" quotePrefix="1"/>
    <xf numFmtId="0" fontId="3" fillId="3" borderId="1" xfId="1" applyNumberFormat="1" applyFont="1" applyFill="1" applyBorder="1" applyAlignment="1" quotePrefix="1">
      <alignment horizontal="center"/>
    </xf>
    <xf numFmtId="0" fontId="3" fillId="2" borderId="1" xfId="1" applyNumberFormat="1" applyFont="1" applyFill="1" applyBorder="1" applyAlignment="1" quotePrefix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6c4013377bf6ed3a\LOBBY%20LINKED\LOBBY%202025\NAIROBI\KABAIKU%20(2025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"/>
      <sheetName val="SEP"/>
      <sheetName val="OCT"/>
      <sheetName val="NOV"/>
      <sheetName val="D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8">
          <cell r="K38">
            <v>-5230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52"/>
  <sheetViews>
    <sheetView zoomScale="88" zoomScaleNormal="88" topLeftCell="A7" workbookViewId="0">
      <selection activeCell="E29" sqref="E29"/>
    </sheetView>
  </sheetViews>
  <sheetFormatPr defaultColWidth="9" defaultRowHeight="15"/>
  <cols>
    <col min="2" max="2" width="19.1047619047619" customWidth="1"/>
    <col min="3" max="3" width="20.4380952380952" customWidth="1"/>
    <col min="4" max="4" width="9.66666666666667" customWidth="1"/>
    <col min="5" max="5" width="12.2190476190476" customWidth="1"/>
    <col min="6" max="6" width="7.43809523809524" customWidth="1"/>
    <col min="7" max="7" width="7.55238095238095" customWidth="1"/>
    <col min="8" max="8" width="8.55238095238095" customWidth="1"/>
    <col min="9" max="9" width="27.3333333333333" customWidth="1"/>
    <col min="10" max="10" width="9.55238095238095" customWidth="1"/>
    <col min="11" max="11" width="9.43809523809524" customWidth="1"/>
    <col min="12" max="12" width="10.1047619047619" customWidth="1"/>
    <col min="13" max="13" width="16.6666666666667" customWidth="1"/>
  </cols>
  <sheetData>
    <row r="1" spans="1:13">
      <c r="A1" s="2"/>
      <c r="B1" s="3"/>
      <c r="C1" s="4" t="s">
        <v>0</v>
      </c>
      <c r="D1" s="5"/>
      <c r="E1" s="3"/>
      <c r="F1" s="6"/>
      <c r="G1" s="7"/>
      <c r="H1" s="7"/>
      <c r="I1" s="8"/>
      <c r="J1" s="8"/>
      <c r="K1" s="9"/>
      <c r="L1" s="9"/>
      <c r="M1" s="9"/>
    </row>
    <row r="2" spans="1:13">
      <c r="A2" s="2" t="s">
        <v>1</v>
      </c>
      <c r="B2" s="2"/>
      <c r="C2" s="2"/>
      <c r="D2" s="2"/>
      <c r="E2" s="7"/>
      <c r="F2" s="6"/>
      <c r="G2" s="7"/>
      <c r="H2" s="7"/>
      <c r="I2" s="8"/>
      <c r="J2" s="8"/>
      <c r="K2" s="9"/>
      <c r="L2" s="9"/>
      <c r="M2" s="9"/>
    </row>
    <row r="3" spans="1:13">
      <c r="A3" s="10">
        <v>46053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2"/>
      <c r="M3" s="2"/>
    </row>
    <row r="4" spans="1:13">
      <c r="A4" s="2"/>
      <c r="B4" s="2"/>
      <c r="C4" s="2"/>
      <c r="D4" s="7"/>
      <c r="E4" s="7"/>
      <c r="F4" s="6"/>
      <c r="G4" s="7"/>
      <c r="H4" s="7"/>
      <c r="I4" s="8" t="s">
        <v>2</v>
      </c>
      <c r="J4" s="8"/>
      <c r="K4" s="12"/>
      <c r="L4" s="12"/>
      <c r="M4" s="12"/>
    </row>
    <row r="5" spans="1:13">
      <c r="A5" s="13"/>
      <c r="B5" s="13"/>
      <c r="C5" s="13"/>
      <c r="D5" s="12"/>
      <c r="E5" s="12"/>
      <c r="F5" s="14"/>
      <c r="G5" s="12"/>
      <c r="H5" s="12"/>
      <c r="I5" s="15" t="s">
        <v>3</v>
      </c>
      <c r="J5" s="15"/>
      <c r="K5" s="12"/>
      <c r="L5" s="12"/>
      <c r="M5" s="12"/>
    </row>
    <row r="6" spans="1:13">
      <c r="A6" s="13" t="s">
        <v>4</v>
      </c>
      <c r="B6" s="13"/>
      <c r="C6" s="13"/>
      <c r="D6" s="3"/>
      <c r="E6" s="3"/>
      <c r="F6" s="16"/>
      <c r="G6" s="3"/>
      <c r="H6" s="12" t="s">
        <v>5</v>
      </c>
      <c r="I6" s="15"/>
      <c r="J6" s="15"/>
      <c r="K6" s="12"/>
      <c r="L6" s="12"/>
      <c r="M6" s="12"/>
    </row>
    <row r="7" spans="1:13">
      <c r="A7" s="13"/>
      <c r="B7" s="13"/>
      <c r="C7" s="13"/>
      <c r="D7" s="3"/>
      <c r="E7" s="3"/>
      <c r="F7" s="16"/>
      <c r="G7" s="3"/>
      <c r="H7" s="12" t="s">
        <v>6</v>
      </c>
      <c r="I7" s="15"/>
      <c r="J7" s="15"/>
      <c r="K7" s="12"/>
      <c r="L7" s="12"/>
      <c r="M7" s="12"/>
    </row>
    <row r="8" spans="1:13">
      <c r="A8" s="13" t="s">
        <v>7</v>
      </c>
      <c r="B8" s="13"/>
      <c r="C8" s="13"/>
      <c r="D8" s="17"/>
      <c r="E8" s="12"/>
      <c r="F8" s="14"/>
      <c r="G8" s="12"/>
      <c r="H8" s="12"/>
      <c r="I8" s="15"/>
      <c r="J8" s="15"/>
      <c r="K8" s="12"/>
      <c r="L8" s="12"/>
      <c r="M8" s="12"/>
    </row>
    <row r="9" ht="22.5" spans="1:13">
      <c r="A9" s="2" t="s">
        <v>8</v>
      </c>
      <c r="B9" s="2" t="s">
        <v>9</v>
      </c>
      <c r="C9" s="2" t="s">
        <v>10</v>
      </c>
      <c r="D9" s="18" t="s">
        <v>11</v>
      </c>
      <c r="E9" s="19" t="s">
        <v>12</v>
      </c>
      <c r="F9" s="6" t="s">
        <v>13</v>
      </c>
      <c r="G9" s="20" t="s">
        <v>14</v>
      </c>
      <c r="H9" s="7" t="s">
        <v>15</v>
      </c>
      <c r="I9" s="2" t="s">
        <v>16</v>
      </c>
      <c r="J9" s="2" t="s">
        <v>17</v>
      </c>
      <c r="K9" s="7" t="s">
        <v>18</v>
      </c>
      <c r="L9" s="7" t="s">
        <v>19</v>
      </c>
      <c r="M9" s="7" t="s">
        <v>20</v>
      </c>
    </row>
    <row r="10" spans="1:13">
      <c r="A10" s="21"/>
      <c r="B10" s="2" t="s">
        <v>21</v>
      </c>
      <c r="C10" s="2"/>
      <c r="D10" s="18"/>
      <c r="E10" s="19"/>
      <c r="F10" s="22">
        <v>0</v>
      </c>
      <c r="G10" s="23">
        <f>D10+E10+F10</f>
        <v>0</v>
      </c>
      <c r="H10" s="7"/>
      <c r="I10" s="2"/>
      <c r="J10" s="71" t="s">
        <v>22</v>
      </c>
      <c r="K10" s="7">
        <f>G10-H10</f>
        <v>0</v>
      </c>
      <c r="L10" s="7"/>
      <c r="M10" s="7"/>
    </row>
    <row r="11" spans="1:13">
      <c r="A11" s="21"/>
      <c r="B11" s="2" t="s">
        <v>21</v>
      </c>
      <c r="C11" s="2"/>
      <c r="D11" s="18"/>
      <c r="E11" s="19"/>
      <c r="F11" s="22">
        <v>0</v>
      </c>
      <c r="G11" s="23">
        <f t="shared" ref="G11:G31" si="0">D11+E11+F11</f>
        <v>0</v>
      </c>
      <c r="H11" s="7"/>
      <c r="I11" s="2"/>
      <c r="J11" s="71" t="s">
        <v>22</v>
      </c>
      <c r="K11" s="7">
        <f t="shared" ref="K11:K12" si="1">G11-H11</f>
        <v>0</v>
      </c>
      <c r="L11" s="7"/>
      <c r="M11" s="7"/>
    </row>
    <row r="12" s="1" customFormat="1" spans="1:13">
      <c r="A12" s="3">
        <v>1</v>
      </c>
      <c r="B12" s="3" t="s">
        <v>23</v>
      </c>
      <c r="C12" s="3"/>
      <c r="D12" s="27">
        <v>1000</v>
      </c>
      <c r="E12" s="28">
        <v>2500</v>
      </c>
      <c r="F12" s="22">
        <v>0</v>
      </c>
      <c r="G12" s="23">
        <f t="shared" si="0"/>
        <v>3500</v>
      </c>
      <c r="H12" s="72">
        <f>2600</f>
        <v>2600</v>
      </c>
      <c r="I12" s="74" t="s">
        <v>24</v>
      </c>
      <c r="J12" s="71" t="s">
        <v>22</v>
      </c>
      <c r="K12" s="31">
        <f t="shared" si="1"/>
        <v>900</v>
      </c>
      <c r="L12" s="31"/>
      <c r="M12" s="31"/>
    </row>
    <row r="13" spans="1:13">
      <c r="A13" s="21">
        <v>2</v>
      </c>
      <c r="B13" s="3" t="s">
        <v>25</v>
      </c>
      <c r="C13" s="82" t="s">
        <v>26</v>
      </c>
      <c r="D13" s="28"/>
      <c r="E13" s="28">
        <v>2500</v>
      </c>
      <c r="F13" s="22">
        <v>2500</v>
      </c>
      <c r="G13" s="23">
        <f t="shared" si="0"/>
        <v>5000</v>
      </c>
      <c r="H13" s="72">
        <f>5000</f>
        <v>5000</v>
      </c>
      <c r="I13" s="74" t="s">
        <v>24</v>
      </c>
      <c r="J13" s="71" t="s">
        <v>22</v>
      </c>
      <c r="K13" s="31">
        <f t="shared" ref="K13:K31" si="2">G13-H13</f>
        <v>0</v>
      </c>
      <c r="L13" s="34"/>
      <c r="M13" s="35"/>
    </row>
    <row r="14" spans="1:13">
      <c r="A14" s="21">
        <v>3</v>
      </c>
      <c r="B14" s="3" t="s">
        <v>27</v>
      </c>
      <c r="C14" s="82" t="s">
        <v>28</v>
      </c>
      <c r="D14" s="28"/>
      <c r="E14" s="28">
        <v>2500</v>
      </c>
      <c r="F14" s="22">
        <v>0</v>
      </c>
      <c r="G14" s="23">
        <f t="shared" si="0"/>
        <v>2500</v>
      </c>
      <c r="H14" s="75">
        <f>2000+500</f>
        <v>2500</v>
      </c>
      <c r="I14" s="74" t="s">
        <v>29</v>
      </c>
      <c r="J14" s="71" t="s">
        <v>22</v>
      </c>
      <c r="K14" s="31">
        <f t="shared" si="2"/>
        <v>0</v>
      </c>
      <c r="L14" s="34"/>
      <c r="M14" s="35"/>
    </row>
    <row r="15" spans="1:13">
      <c r="A15" s="21">
        <v>4</v>
      </c>
      <c r="B15" s="3" t="s">
        <v>30</v>
      </c>
      <c r="C15" s="32"/>
      <c r="D15" s="28"/>
      <c r="E15" s="28"/>
      <c r="F15" s="22"/>
      <c r="G15" s="23">
        <f t="shared" si="0"/>
        <v>0</v>
      </c>
      <c r="H15" s="75"/>
      <c r="I15" s="74"/>
      <c r="J15" s="71" t="s">
        <v>22</v>
      </c>
      <c r="K15" s="31">
        <f t="shared" si="2"/>
        <v>0</v>
      </c>
      <c r="L15" s="34"/>
      <c r="M15" s="35"/>
    </row>
    <row r="16" spans="1:13">
      <c r="A16" s="21">
        <v>5</v>
      </c>
      <c r="B16" s="3" t="s">
        <v>31</v>
      </c>
      <c r="C16" s="32"/>
      <c r="D16" s="28"/>
      <c r="E16" s="28">
        <v>2500</v>
      </c>
      <c r="F16" s="22">
        <v>2500</v>
      </c>
      <c r="G16" s="23">
        <f t="shared" si="0"/>
        <v>5000</v>
      </c>
      <c r="H16" s="75">
        <f>G16</f>
        <v>5000</v>
      </c>
      <c r="I16" s="74" t="s">
        <v>24</v>
      </c>
      <c r="J16" s="71"/>
      <c r="K16" s="31">
        <f t="shared" si="2"/>
        <v>0</v>
      </c>
      <c r="L16" s="34"/>
      <c r="M16" s="35"/>
    </row>
    <row r="17" spans="1:15">
      <c r="A17" s="21">
        <v>6</v>
      </c>
      <c r="B17" s="3" t="s">
        <v>32</v>
      </c>
      <c r="C17" s="32"/>
      <c r="D17" s="28"/>
      <c r="E17" s="28">
        <v>2500</v>
      </c>
      <c r="F17" s="22">
        <v>0</v>
      </c>
      <c r="G17" s="23">
        <f t="shared" si="0"/>
        <v>2500</v>
      </c>
      <c r="H17" s="75">
        <f>2500</f>
        <v>2500</v>
      </c>
      <c r="I17" s="74" t="s">
        <v>33</v>
      </c>
      <c r="J17" s="71" t="s">
        <v>22</v>
      </c>
      <c r="K17" s="31">
        <f t="shared" si="2"/>
        <v>0</v>
      </c>
      <c r="L17" s="34"/>
      <c r="M17" s="35"/>
    </row>
    <row r="18" spans="1:15">
      <c r="A18" s="21">
        <v>7</v>
      </c>
      <c r="B18" s="3" t="s">
        <v>34</v>
      </c>
      <c r="C18" s="82" t="s">
        <v>35</v>
      </c>
      <c r="D18" s="28"/>
      <c r="E18" s="28">
        <v>2500</v>
      </c>
      <c r="F18" s="22">
        <v>200</v>
      </c>
      <c r="G18" s="23">
        <f t="shared" si="0"/>
        <v>2700</v>
      </c>
      <c r="H18" s="75">
        <f>2000+500</f>
        <v>2500</v>
      </c>
      <c r="I18" s="74" t="s">
        <v>36</v>
      </c>
      <c r="J18" s="71" t="s">
        <v>22</v>
      </c>
      <c r="K18" s="31">
        <f t="shared" si="2"/>
        <v>200</v>
      </c>
      <c r="L18" s="34"/>
      <c r="M18" s="35"/>
      <c r="O18" t="s">
        <v>37</v>
      </c>
    </row>
    <row r="19" spans="1:15">
      <c r="A19" s="21">
        <v>8</v>
      </c>
      <c r="B19" s="3" t="s">
        <v>38</v>
      </c>
      <c r="C19" s="32"/>
      <c r="D19" s="28"/>
      <c r="E19" s="28">
        <v>2500</v>
      </c>
      <c r="F19" s="22">
        <v>0</v>
      </c>
      <c r="G19" s="23">
        <f t="shared" si="0"/>
        <v>2500</v>
      </c>
      <c r="H19" s="72">
        <f>2500</f>
        <v>2500</v>
      </c>
      <c r="I19" s="74" t="s">
        <v>24</v>
      </c>
      <c r="J19" s="71" t="s">
        <v>22</v>
      </c>
      <c r="K19" s="31">
        <f t="shared" si="2"/>
        <v>0</v>
      </c>
      <c r="L19" s="34"/>
      <c r="M19" s="35"/>
    </row>
    <row r="20" spans="1:15">
      <c r="A20" s="21">
        <v>9</v>
      </c>
      <c r="B20" s="3" t="s">
        <v>39</v>
      </c>
      <c r="C20" s="32"/>
      <c r="D20" s="28"/>
      <c r="E20" s="28">
        <v>2500</v>
      </c>
      <c r="F20" s="22">
        <v>0</v>
      </c>
      <c r="G20" s="23">
        <f t="shared" si="0"/>
        <v>2500</v>
      </c>
      <c r="H20" s="72">
        <f>2500</f>
        <v>2500</v>
      </c>
      <c r="I20" s="79" t="s">
        <v>24</v>
      </c>
      <c r="J20" s="71" t="s">
        <v>22</v>
      </c>
      <c r="K20" s="31">
        <f t="shared" si="2"/>
        <v>0</v>
      </c>
      <c r="L20" s="34"/>
      <c r="M20" s="35"/>
    </row>
    <row r="21" spans="1:15">
      <c r="A21" s="21">
        <v>10</v>
      </c>
      <c r="B21" s="3" t="s">
        <v>39</v>
      </c>
      <c r="C21" s="32"/>
      <c r="D21" s="28"/>
      <c r="E21" s="28"/>
      <c r="F21" s="22">
        <v>0</v>
      </c>
      <c r="G21" s="23">
        <f t="shared" si="0"/>
        <v>0</v>
      </c>
      <c r="H21" s="72"/>
      <c r="I21" s="80"/>
      <c r="J21" s="71" t="s">
        <v>22</v>
      </c>
      <c r="K21" s="31">
        <f t="shared" si="2"/>
        <v>0</v>
      </c>
      <c r="L21" s="34"/>
      <c r="M21" s="35"/>
    </row>
    <row r="22" spans="1:15">
      <c r="A22" s="21">
        <v>11</v>
      </c>
      <c r="B22" s="3" t="s">
        <v>40</v>
      </c>
      <c r="C22" s="82" t="s">
        <v>41</v>
      </c>
      <c r="D22" s="28"/>
      <c r="E22" s="28">
        <v>2200</v>
      </c>
      <c r="F22" s="22">
        <v>0</v>
      </c>
      <c r="G22" s="23">
        <f t="shared" si="0"/>
        <v>2200</v>
      </c>
      <c r="H22" s="75">
        <f>2200</f>
        <v>2200</v>
      </c>
      <c r="I22" s="74" t="s">
        <v>42</v>
      </c>
      <c r="J22" s="71" t="s">
        <v>22</v>
      </c>
      <c r="K22" s="31">
        <f t="shared" si="2"/>
        <v>0</v>
      </c>
      <c r="L22" s="34"/>
      <c r="M22" s="35"/>
    </row>
    <row r="23" spans="1:15">
      <c r="A23" s="21">
        <v>12</v>
      </c>
      <c r="B23" s="3" t="s">
        <v>43</v>
      </c>
      <c r="C23" s="82" t="s">
        <v>44</v>
      </c>
      <c r="D23" s="28"/>
      <c r="E23" s="28">
        <v>2500</v>
      </c>
      <c r="F23" s="22">
        <v>0</v>
      </c>
      <c r="G23" s="23">
        <f t="shared" si="0"/>
        <v>2500</v>
      </c>
      <c r="H23" s="72">
        <f>2500</f>
        <v>2500</v>
      </c>
      <c r="I23" s="83" t="s">
        <v>45</v>
      </c>
      <c r="J23" s="71" t="s">
        <v>22</v>
      </c>
      <c r="K23" s="31">
        <f t="shared" si="2"/>
        <v>0</v>
      </c>
      <c r="L23" s="34"/>
      <c r="M23" s="35"/>
    </row>
    <row r="24" spans="1:15">
      <c r="A24" s="21">
        <v>13</v>
      </c>
      <c r="B24" s="3" t="s">
        <v>46</v>
      </c>
      <c r="C24" s="82" t="s">
        <v>47</v>
      </c>
      <c r="D24" s="28"/>
      <c r="E24" s="28">
        <v>2500</v>
      </c>
      <c r="F24" s="22">
        <v>2500</v>
      </c>
      <c r="G24" s="23">
        <f t="shared" si="0"/>
        <v>5000</v>
      </c>
      <c r="H24" s="72">
        <f>2500</f>
        <v>2500</v>
      </c>
      <c r="I24" s="74" t="s">
        <v>48</v>
      </c>
      <c r="J24" s="71" t="s">
        <v>22</v>
      </c>
      <c r="K24" s="31">
        <f t="shared" si="2"/>
        <v>2500</v>
      </c>
      <c r="L24" s="34"/>
      <c r="M24" s="35"/>
    </row>
    <row r="25" spans="1:15">
      <c r="A25" s="21">
        <v>14</v>
      </c>
      <c r="B25" s="3" t="s">
        <v>30</v>
      </c>
      <c r="C25" s="32"/>
      <c r="D25" s="28"/>
      <c r="E25" s="28"/>
      <c r="F25" s="22"/>
      <c r="G25" s="23">
        <f t="shared" si="0"/>
        <v>0</v>
      </c>
      <c r="H25" s="72"/>
      <c r="I25" s="81"/>
      <c r="J25" s="71" t="s">
        <v>22</v>
      </c>
      <c r="K25" s="31">
        <f t="shared" si="2"/>
        <v>0</v>
      </c>
      <c r="L25" s="34"/>
      <c r="M25" s="35"/>
    </row>
    <row r="26" spans="1:15">
      <c r="A26" s="21">
        <v>15</v>
      </c>
      <c r="B26" s="3" t="s">
        <v>49</v>
      </c>
      <c r="C26" s="82" t="s">
        <v>44</v>
      </c>
      <c r="D26" s="28"/>
      <c r="E26" s="28">
        <v>2500</v>
      </c>
      <c r="F26" s="22">
        <v>700</v>
      </c>
      <c r="G26" s="23">
        <f t="shared" si="0"/>
        <v>3200</v>
      </c>
      <c r="H26" s="72">
        <f>2400</f>
        <v>2400</v>
      </c>
      <c r="I26" s="81" t="s">
        <v>50</v>
      </c>
      <c r="J26" s="71" t="s">
        <v>22</v>
      </c>
      <c r="K26" s="31">
        <f t="shared" si="2"/>
        <v>800</v>
      </c>
      <c r="L26" s="34"/>
      <c r="M26" s="35"/>
    </row>
    <row r="27" spans="1:15">
      <c r="A27" s="84" t="s">
        <v>51</v>
      </c>
      <c r="B27" s="3" t="s">
        <v>52</v>
      </c>
      <c r="C27" s="82" t="s">
        <v>53</v>
      </c>
      <c r="D27" s="28"/>
      <c r="E27" s="28">
        <v>3000</v>
      </c>
      <c r="F27" s="22">
        <v>0</v>
      </c>
      <c r="G27" s="23">
        <f t="shared" si="0"/>
        <v>3000</v>
      </c>
      <c r="H27" s="75">
        <v>3000</v>
      </c>
      <c r="I27" s="74" t="s">
        <v>54</v>
      </c>
      <c r="J27" s="71" t="s">
        <v>22</v>
      </c>
      <c r="K27" s="31">
        <f t="shared" si="2"/>
        <v>0</v>
      </c>
      <c r="L27" s="34"/>
      <c r="M27" s="35" t="s">
        <v>55</v>
      </c>
    </row>
    <row r="28" spans="1:15">
      <c r="A28" s="21">
        <v>17</v>
      </c>
      <c r="B28" s="3" t="s">
        <v>21</v>
      </c>
      <c r="C28" s="32"/>
      <c r="D28" s="28"/>
      <c r="E28" s="28"/>
      <c r="F28" s="22">
        <v>0</v>
      </c>
      <c r="G28" s="23">
        <f t="shared" si="0"/>
        <v>0</v>
      </c>
      <c r="H28" s="72"/>
      <c r="I28" s="74"/>
      <c r="J28" s="71" t="s">
        <v>22</v>
      </c>
      <c r="K28" s="31">
        <f t="shared" si="2"/>
        <v>0</v>
      </c>
      <c r="L28" s="34"/>
      <c r="M28" s="35"/>
    </row>
    <row r="29" spans="1:15">
      <c r="A29" s="21">
        <v>19</v>
      </c>
      <c r="B29" s="3" t="s">
        <v>56</v>
      </c>
      <c r="C29" s="82" t="s">
        <v>57</v>
      </c>
      <c r="D29" s="28"/>
      <c r="E29" s="28">
        <v>2500</v>
      </c>
      <c r="F29" s="22">
        <v>0</v>
      </c>
      <c r="G29" s="23">
        <f t="shared" si="0"/>
        <v>2500</v>
      </c>
      <c r="H29" s="75">
        <f>1500+500+500</f>
        <v>2500</v>
      </c>
      <c r="I29" s="74" t="s">
        <v>58</v>
      </c>
      <c r="J29" s="71" t="s">
        <v>22</v>
      </c>
      <c r="K29" s="31">
        <f t="shared" si="2"/>
        <v>0</v>
      </c>
      <c r="L29" s="34"/>
      <c r="M29" s="35"/>
    </row>
    <row r="30" spans="1:15">
      <c r="A30" s="21">
        <v>20</v>
      </c>
      <c r="B30" s="39" t="s">
        <v>30</v>
      </c>
      <c r="C30" s="32"/>
      <c r="D30" s="28"/>
      <c r="E30" s="28"/>
      <c r="F30" s="22"/>
      <c r="G30" s="23">
        <f t="shared" si="0"/>
        <v>0</v>
      </c>
      <c r="H30" s="72"/>
      <c r="I30" s="81"/>
      <c r="J30" s="71" t="s">
        <v>22</v>
      </c>
      <c r="K30" s="31">
        <f t="shared" si="2"/>
        <v>0</v>
      </c>
      <c r="L30" s="34"/>
      <c r="M30" s="35"/>
    </row>
    <row r="31" spans="1:15">
      <c r="A31" s="21">
        <v>21</v>
      </c>
      <c r="B31" s="39" t="s">
        <v>59</v>
      </c>
      <c r="C31" s="82" t="s">
        <v>60</v>
      </c>
      <c r="D31" s="28"/>
      <c r="E31" s="28">
        <v>2500</v>
      </c>
      <c r="F31" s="22">
        <v>0</v>
      </c>
      <c r="G31" s="23">
        <f t="shared" si="0"/>
        <v>2500</v>
      </c>
      <c r="H31" s="72">
        <f>2500</f>
        <v>2500</v>
      </c>
      <c r="I31" s="81" t="s">
        <v>61</v>
      </c>
      <c r="J31" s="71" t="s">
        <v>22</v>
      </c>
      <c r="K31" s="31">
        <f t="shared" si="2"/>
        <v>0</v>
      </c>
      <c r="L31" s="34"/>
      <c r="M31" s="35"/>
    </row>
    <row r="32" spans="1:15">
      <c r="A32" s="2"/>
      <c r="B32" s="39"/>
      <c r="C32" s="32"/>
      <c r="D32" s="40">
        <f>SUM(D13:D29)</f>
        <v>0</v>
      </c>
      <c r="E32" s="40">
        <f>SUM(E10:E31)</f>
        <v>37700</v>
      </c>
      <c r="F32" s="40">
        <f t="shared" ref="F32:H32" si="3">SUM(F10:F31)</f>
        <v>8400</v>
      </c>
      <c r="G32" s="40">
        <f t="shared" si="3"/>
        <v>47100</v>
      </c>
      <c r="H32" s="40">
        <f t="shared" si="3"/>
        <v>42700</v>
      </c>
      <c r="I32" s="40"/>
      <c r="J32" s="40">
        <f>SUM(J13:J29)</f>
        <v>0</v>
      </c>
      <c r="K32" s="40">
        <f>SUM(K10:K31)</f>
        <v>4400</v>
      </c>
      <c r="L32" s="41"/>
      <c r="M32" s="41"/>
    </row>
    <row r="33" spans="1:13">
      <c r="A33" s="42" t="s">
        <v>62</v>
      </c>
      <c r="B33" s="3"/>
      <c r="C33" s="32"/>
      <c r="D33" s="43"/>
      <c r="E33" s="44"/>
      <c r="F33" s="45"/>
      <c r="G33" s="44"/>
      <c r="H33" s="44"/>
      <c r="I33" s="2"/>
      <c r="J33" s="2"/>
      <c r="K33" s="44"/>
      <c r="L33" s="44"/>
      <c r="M33" s="44"/>
    </row>
    <row r="34" spans="1:13">
      <c r="A34" s="46" t="s">
        <v>63</v>
      </c>
      <c r="B34" s="3"/>
      <c r="C34" s="32"/>
      <c r="D34" s="43"/>
      <c r="E34" s="44"/>
      <c r="F34" s="45"/>
      <c r="G34" s="44"/>
      <c r="H34" s="44"/>
      <c r="I34" s="2"/>
      <c r="J34" s="2"/>
      <c r="K34" s="44"/>
      <c r="L34" s="44"/>
      <c r="M34" s="44"/>
    </row>
    <row r="35" spans="1:13">
      <c r="A35" s="3" t="s">
        <v>64</v>
      </c>
      <c r="B35" s="3"/>
      <c r="C35" s="32"/>
      <c r="D35" s="3"/>
      <c r="E35" s="3"/>
      <c r="F35" s="16"/>
      <c r="G35" s="3"/>
      <c r="H35" s="47">
        <f>H32*10%</f>
        <v>4270</v>
      </c>
      <c r="I35" s="3"/>
      <c r="J35" s="3"/>
      <c r="K35" s="3"/>
      <c r="L35" s="13"/>
      <c r="M35" s="3"/>
    </row>
    <row r="36" spans="1:13">
      <c r="A36" s="3" t="s">
        <v>65</v>
      </c>
      <c r="B36" s="3"/>
      <c r="C36" s="32"/>
      <c r="D36" s="3"/>
      <c r="E36" s="3"/>
      <c r="F36" s="16"/>
      <c r="G36" s="3"/>
      <c r="H36" s="47">
        <v>1000</v>
      </c>
      <c r="I36" s="3"/>
      <c r="J36" s="3"/>
      <c r="K36" s="3"/>
      <c r="L36" s="13"/>
      <c r="M36" s="3"/>
    </row>
    <row r="37" spans="1:13">
      <c r="A37" s="3" t="s">
        <v>66</v>
      </c>
      <c r="B37" s="3"/>
      <c r="C37" s="32"/>
      <c r="D37" s="3"/>
      <c r="E37" s="3"/>
      <c r="F37" s="16"/>
      <c r="G37" s="3"/>
      <c r="H37" s="47">
        <f>H19+H12+H13+H16+H20</f>
        <v>17600</v>
      </c>
      <c r="I37" s="3"/>
      <c r="J37" s="3"/>
      <c r="K37" s="3"/>
      <c r="L37" s="13"/>
      <c r="M37" s="3"/>
    </row>
    <row r="38" spans="1:13">
      <c r="A38" s="13" t="s">
        <v>67</v>
      </c>
      <c r="B38" s="13"/>
      <c r="C38" s="13"/>
      <c r="D38" s="13"/>
      <c r="E38" s="13"/>
      <c r="F38" s="48"/>
      <c r="G38" s="13"/>
      <c r="H38" s="49">
        <f>SUM(H35:H37)</f>
        <v>22870</v>
      </c>
      <c r="I38" s="13"/>
      <c r="J38" s="3"/>
      <c r="K38" s="13"/>
      <c r="L38" s="13"/>
      <c r="M38" s="13"/>
    </row>
    <row r="39" spans="1:13">
      <c r="A39" s="3" t="s">
        <v>68</v>
      </c>
      <c r="B39" s="3"/>
      <c r="C39" s="3"/>
      <c r="D39" s="3"/>
      <c r="E39" s="3"/>
      <c r="F39" s="16"/>
      <c r="G39" s="3"/>
      <c r="H39" s="50">
        <f>[1]DEC!$K$38</f>
        <v>-5230</v>
      </c>
      <c r="I39" s="51" t="s">
        <v>69</v>
      </c>
      <c r="J39" s="51" t="s">
        <v>70</v>
      </c>
      <c r="K39" s="51" t="s">
        <v>71</v>
      </c>
      <c r="L39" s="52"/>
      <c r="M39" s="52"/>
    </row>
    <row r="40" ht="15.75" spans="1:13">
      <c r="A40" s="2" t="s">
        <v>72</v>
      </c>
      <c r="B40" s="2"/>
      <c r="C40" s="2"/>
      <c r="D40" s="2"/>
      <c r="E40" s="2"/>
      <c r="F40" s="45"/>
      <c r="G40" s="13"/>
      <c r="H40" s="53">
        <f>H32-H38+H39</f>
        <v>14600</v>
      </c>
      <c r="I40" s="48">
        <v>15000</v>
      </c>
      <c r="J40" s="48"/>
      <c r="K40" s="54">
        <f>H40-I40-J40</f>
        <v>-400</v>
      </c>
      <c r="L40" s="52"/>
      <c r="M40" s="52"/>
    </row>
    <row r="41" ht="15.75" spans="1:13">
      <c r="A41" s="3" t="s">
        <v>73</v>
      </c>
      <c r="B41" s="3"/>
      <c r="C41" s="3"/>
      <c r="D41" s="3"/>
      <c r="E41" s="3"/>
      <c r="F41" s="16"/>
      <c r="G41" s="3"/>
      <c r="H41" s="3"/>
      <c r="I41" s="3"/>
      <c r="J41" s="3"/>
      <c r="K41" s="55">
        <v>46053</v>
      </c>
      <c r="L41" s="56"/>
      <c r="M41" s="55"/>
    </row>
    <row r="42" spans="1:13">
      <c r="H42" s="57"/>
    </row>
    <row r="45" spans="1:13">
      <c r="H45">
        <f>H32/G32*100</f>
        <v>90.6581740976645</v>
      </c>
    </row>
    <row r="50" spans="8:17">
      <c r="Q50" t="s">
        <v>74</v>
      </c>
    </row>
    <row r="51" spans="8:17">
      <c r="H51" t="s">
        <v>75</v>
      </c>
      <c r="I51" s="57" t="e">
        <f>H13+#REF!+H14+H18+H22+H25+H26+H27+H29+H30+4700</f>
        <v>#REF!</v>
      </c>
    </row>
    <row r="52" spans="8:17">
      <c r="H52" t="s">
        <v>76</v>
      </c>
      <c r="I52" s="57">
        <f>H15+300</f>
        <v>300</v>
      </c>
    </row>
  </sheetData>
  <mergeCells count="1">
    <mergeCell ref="A3:K3"/>
  </mergeCells>
  <pageMargins left="0.25" right="0.25" top="0.75" bottom="0.75" header="0.3" footer="0.3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51"/>
  <sheetViews>
    <sheetView zoomScale="95" zoomScaleNormal="95" topLeftCell="A7" workbookViewId="0">
      <selection activeCell="J39" sqref="J39"/>
    </sheetView>
  </sheetViews>
  <sheetFormatPr defaultColWidth="9" defaultRowHeight="15"/>
  <cols>
    <col min="2" max="2" width="19.1047619047619" customWidth="1"/>
    <col min="3" max="3" width="20.4380952380952" customWidth="1"/>
    <col min="4" max="4" width="9.66666666666667" customWidth="1"/>
    <col min="5" max="5" width="12.2190476190476" customWidth="1"/>
    <col min="6" max="6" width="7.43809523809524" customWidth="1"/>
    <col min="7" max="7" width="9.55238095238095" customWidth="1"/>
    <col min="8" max="8" width="10.2190476190476" customWidth="1"/>
    <col min="9" max="9" width="27.3333333333333" customWidth="1"/>
    <col min="10" max="10" width="9.55238095238095" customWidth="1"/>
    <col min="11" max="11" width="9.43809523809524" customWidth="1"/>
    <col min="12" max="12" width="10.1047619047619" customWidth="1"/>
    <col min="13" max="13" width="16.6666666666667" customWidth="1"/>
  </cols>
  <sheetData>
    <row r="1" spans="1:13">
      <c r="A1" s="2"/>
      <c r="B1" s="3"/>
      <c r="C1" s="4" t="s">
        <v>0</v>
      </c>
      <c r="D1" s="5"/>
      <c r="E1" s="3"/>
      <c r="F1" s="6"/>
      <c r="G1" s="7"/>
      <c r="H1" s="7"/>
      <c r="I1" s="8"/>
      <c r="J1" s="8"/>
      <c r="K1" s="9"/>
      <c r="L1" s="9"/>
      <c r="M1" s="9"/>
    </row>
    <row r="2" spans="1:13">
      <c r="A2" s="2" t="s">
        <v>1</v>
      </c>
      <c r="B2" s="2"/>
      <c r="C2" s="2"/>
      <c r="D2" s="2"/>
      <c r="E2" s="7"/>
      <c r="F2" s="6"/>
      <c r="G2" s="7"/>
      <c r="H2" s="7"/>
      <c r="I2" s="8"/>
      <c r="J2" s="8"/>
      <c r="K2" s="9"/>
      <c r="L2" s="9"/>
      <c r="M2" s="9"/>
    </row>
    <row r="3" spans="1:13">
      <c r="A3" s="10">
        <v>46081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2"/>
      <c r="M3" s="2"/>
    </row>
    <row r="4" spans="1:13">
      <c r="A4" s="2"/>
      <c r="B4" s="2"/>
      <c r="C4" s="2"/>
      <c r="D4" s="7"/>
      <c r="E4" s="7"/>
      <c r="F4" s="6"/>
      <c r="G4" s="7"/>
      <c r="H4" s="7"/>
      <c r="I4" s="8" t="s">
        <v>2</v>
      </c>
      <c r="J4" s="8"/>
      <c r="K4" s="12"/>
      <c r="L4" s="12"/>
      <c r="M4" s="12"/>
    </row>
    <row r="5" spans="1:13">
      <c r="A5" s="13"/>
      <c r="B5" s="13"/>
      <c r="C5" s="13"/>
      <c r="D5" s="12"/>
      <c r="E5" s="12"/>
      <c r="F5" s="14"/>
      <c r="G5" s="12"/>
      <c r="H5" s="12"/>
      <c r="I5" s="15" t="s">
        <v>3</v>
      </c>
      <c r="J5" s="15"/>
      <c r="K5" s="12"/>
      <c r="L5" s="12"/>
      <c r="M5" s="12"/>
    </row>
    <row r="6" spans="1:13">
      <c r="A6" s="13" t="s">
        <v>4</v>
      </c>
      <c r="B6" s="13"/>
      <c r="C6" s="13"/>
      <c r="D6" s="3"/>
      <c r="E6" s="3"/>
      <c r="F6" s="16"/>
      <c r="G6" s="3"/>
      <c r="H6" s="12" t="s">
        <v>5</v>
      </c>
      <c r="I6" s="15"/>
      <c r="J6" s="15"/>
      <c r="K6" s="12"/>
      <c r="L6" s="12"/>
      <c r="M6" s="12"/>
    </row>
    <row r="7" spans="1:13">
      <c r="A7" s="13"/>
      <c r="B7" s="13"/>
      <c r="C7" s="13"/>
      <c r="D7" s="3"/>
      <c r="E7" s="3"/>
      <c r="F7" s="16"/>
      <c r="G7" s="3"/>
      <c r="H7" s="12" t="s">
        <v>6</v>
      </c>
      <c r="I7" s="15"/>
      <c r="J7" s="15"/>
      <c r="K7" s="12"/>
      <c r="L7" s="12"/>
      <c r="M7" s="12"/>
    </row>
    <row r="8" spans="1:13">
      <c r="A8" s="13" t="s">
        <v>7</v>
      </c>
      <c r="B8" s="13"/>
      <c r="C8" s="13"/>
      <c r="D8" s="17"/>
      <c r="E8" s="12"/>
      <c r="F8" s="14"/>
      <c r="G8" s="12"/>
      <c r="H8" s="12"/>
      <c r="I8" s="15"/>
      <c r="J8" s="15"/>
      <c r="K8" s="12"/>
      <c r="L8" s="12"/>
      <c r="M8" s="12"/>
    </row>
    <row r="9" ht="22.5" spans="1:13">
      <c r="A9" s="2" t="s">
        <v>8</v>
      </c>
      <c r="B9" s="2" t="s">
        <v>9</v>
      </c>
      <c r="C9" s="2" t="s">
        <v>10</v>
      </c>
      <c r="D9" s="18" t="s">
        <v>11</v>
      </c>
      <c r="E9" s="19" t="s">
        <v>12</v>
      </c>
      <c r="F9" s="6" t="s">
        <v>13</v>
      </c>
      <c r="G9" s="20" t="s">
        <v>14</v>
      </c>
      <c r="H9" s="7" t="s">
        <v>15</v>
      </c>
      <c r="I9" s="2" t="s">
        <v>16</v>
      </c>
      <c r="J9" s="2" t="s">
        <v>17</v>
      </c>
      <c r="K9" s="7" t="s">
        <v>18</v>
      </c>
      <c r="L9" s="7" t="s">
        <v>19</v>
      </c>
      <c r="M9" s="7" t="s">
        <v>20</v>
      </c>
    </row>
    <row r="10" spans="1:13">
      <c r="A10" s="21"/>
      <c r="B10" s="2" t="s">
        <v>21</v>
      </c>
      <c r="C10" s="2"/>
      <c r="D10" s="18"/>
      <c r="E10" s="19"/>
      <c r="F10" s="22">
        <f>JAN!K10</f>
        <v>0</v>
      </c>
      <c r="G10" s="23">
        <f>D10+E10+F10</f>
        <v>0</v>
      </c>
      <c r="H10" s="7"/>
      <c r="I10" s="2"/>
      <c r="J10" s="71" t="s">
        <v>77</v>
      </c>
      <c r="K10" s="7">
        <f>G10-H10</f>
        <v>0</v>
      </c>
      <c r="L10" s="7"/>
      <c r="M10" s="7"/>
    </row>
    <row r="11" spans="1:13">
      <c r="A11" s="21"/>
      <c r="B11" s="2" t="s">
        <v>21</v>
      </c>
      <c r="C11" s="2"/>
      <c r="D11" s="18"/>
      <c r="E11" s="19"/>
      <c r="F11" s="22">
        <f>JAN!K11</f>
        <v>0</v>
      </c>
      <c r="G11" s="23">
        <f t="shared" ref="G11:G31" si="0">D11+E11+F11</f>
        <v>0</v>
      </c>
      <c r="H11" s="7"/>
      <c r="I11" s="2"/>
      <c r="J11" s="71" t="s">
        <v>77</v>
      </c>
      <c r="K11" s="7">
        <f t="shared" ref="K11:K12" si="1">G11-H11</f>
        <v>0</v>
      </c>
      <c r="L11" s="7"/>
      <c r="M11" s="7"/>
    </row>
    <row r="12" s="1" customFormat="1" spans="1:13">
      <c r="A12" s="3">
        <v>1</v>
      </c>
      <c r="B12" s="3" t="s">
        <v>23</v>
      </c>
      <c r="C12" s="3"/>
      <c r="D12" s="27"/>
      <c r="E12" s="28">
        <v>2500</v>
      </c>
      <c r="F12" s="22">
        <f>JAN!K12</f>
        <v>900</v>
      </c>
      <c r="G12" s="23">
        <f t="shared" si="0"/>
        <v>3400</v>
      </c>
      <c r="H12" s="72">
        <f>2500</f>
        <v>2500</v>
      </c>
      <c r="I12" s="74" t="s">
        <v>78</v>
      </c>
      <c r="J12" s="71" t="s">
        <v>77</v>
      </c>
      <c r="K12" s="31">
        <f t="shared" si="1"/>
        <v>900</v>
      </c>
      <c r="L12" s="31"/>
      <c r="M12" s="31"/>
    </row>
    <row r="13" spans="1:13">
      <c r="A13" s="21">
        <v>2</v>
      </c>
      <c r="B13" s="3" t="s">
        <v>25</v>
      </c>
      <c r="C13" s="82" t="s">
        <v>26</v>
      </c>
      <c r="D13" s="28"/>
      <c r="E13" s="28">
        <v>2500</v>
      </c>
      <c r="F13" s="22">
        <f>JAN!K13</f>
        <v>0</v>
      </c>
      <c r="G13" s="23">
        <f t="shared" si="0"/>
        <v>2500</v>
      </c>
      <c r="H13" s="72">
        <f>2500</f>
        <v>2500</v>
      </c>
      <c r="I13" s="74" t="s">
        <v>24</v>
      </c>
      <c r="J13" s="71" t="s">
        <v>77</v>
      </c>
      <c r="K13" s="31">
        <f t="shared" ref="K13:K31" si="2">G13-H13</f>
        <v>0</v>
      </c>
      <c r="L13" s="34"/>
      <c r="M13" s="35"/>
    </row>
    <row r="14" spans="1:13">
      <c r="A14" s="21">
        <v>3</v>
      </c>
      <c r="B14" s="3" t="s">
        <v>27</v>
      </c>
      <c r="C14" s="82" t="s">
        <v>28</v>
      </c>
      <c r="D14" s="28"/>
      <c r="E14" s="28">
        <v>2500</v>
      </c>
      <c r="F14" s="22">
        <f>JAN!K14</f>
        <v>0</v>
      </c>
      <c r="G14" s="23">
        <f t="shared" si="0"/>
        <v>2500</v>
      </c>
      <c r="H14" s="75">
        <f>1700</f>
        <v>1700</v>
      </c>
      <c r="I14" s="74" t="s">
        <v>79</v>
      </c>
      <c r="J14" s="71" t="s">
        <v>77</v>
      </c>
      <c r="K14" s="31">
        <f t="shared" si="2"/>
        <v>800</v>
      </c>
      <c r="L14" s="34"/>
      <c r="M14" s="35"/>
    </row>
    <row r="15" spans="1:13">
      <c r="A15" s="21">
        <v>4</v>
      </c>
      <c r="B15" s="3" t="s">
        <v>39</v>
      </c>
      <c r="C15" s="32"/>
      <c r="D15" s="28"/>
      <c r="E15" s="28">
        <v>2500</v>
      </c>
      <c r="F15" s="22">
        <f>JAN!K15</f>
        <v>0</v>
      </c>
      <c r="G15" s="23">
        <f t="shared" si="0"/>
        <v>2500</v>
      </c>
      <c r="H15" s="75">
        <v>2500</v>
      </c>
      <c r="I15" s="74" t="s">
        <v>24</v>
      </c>
      <c r="J15" s="71" t="s">
        <v>77</v>
      </c>
      <c r="K15" s="31">
        <f t="shared" si="2"/>
        <v>0</v>
      </c>
      <c r="L15" s="34"/>
      <c r="M15" s="35"/>
    </row>
    <row r="16" spans="1:13">
      <c r="A16" s="21">
        <v>5</v>
      </c>
      <c r="B16" s="3" t="s">
        <v>31</v>
      </c>
      <c r="C16" s="32"/>
      <c r="D16" s="28"/>
      <c r="E16" s="28">
        <v>2500</v>
      </c>
      <c r="F16" s="22">
        <f>JAN!K16</f>
        <v>0</v>
      </c>
      <c r="G16" s="23">
        <f t="shared" si="0"/>
        <v>2500</v>
      </c>
      <c r="H16" s="75"/>
      <c r="I16" s="74"/>
      <c r="J16" s="71" t="s">
        <v>77</v>
      </c>
      <c r="K16" s="31">
        <f t="shared" si="2"/>
        <v>2500</v>
      </c>
      <c r="L16" s="34" t="s">
        <v>80</v>
      </c>
      <c r="M16" s="35"/>
    </row>
    <row r="17" spans="1:15">
      <c r="A17" s="21">
        <v>6</v>
      </c>
      <c r="B17" s="3" t="s">
        <v>32</v>
      </c>
      <c r="C17" s="32"/>
      <c r="D17" s="28"/>
      <c r="E17" s="28">
        <v>2500</v>
      </c>
      <c r="F17" s="22">
        <f>JAN!K17</f>
        <v>0</v>
      </c>
      <c r="G17" s="23">
        <f t="shared" si="0"/>
        <v>2500</v>
      </c>
      <c r="H17" s="75">
        <f>2500</f>
        <v>2500</v>
      </c>
      <c r="I17" s="74" t="s">
        <v>81</v>
      </c>
      <c r="J17" s="71" t="s">
        <v>77</v>
      </c>
      <c r="K17" s="31">
        <f t="shared" si="2"/>
        <v>0</v>
      </c>
      <c r="L17" s="34"/>
      <c r="M17" s="35"/>
    </row>
    <row r="18" spans="1:15">
      <c r="A18" s="21">
        <v>7</v>
      </c>
      <c r="B18" s="3" t="s">
        <v>34</v>
      </c>
      <c r="C18" s="82" t="s">
        <v>35</v>
      </c>
      <c r="D18" s="28"/>
      <c r="E18" s="28">
        <v>2500</v>
      </c>
      <c r="F18" s="22">
        <f>JAN!K18</f>
        <v>200</v>
      </c>
      <c r="G18" s="23">
        <f t="shared" si="0"/>
        <v>2700</v>
      </c>
      <c r="H18" s="75">
        <f>1000</f>
        <v>1000</v>
      </c>
      <c r="I18" s="74" t="s">
        <v>82</v>
      </c>
      <c r="J18" s="71" t="s">
        <v>77</v>
      </c>
      <c r="K18" s="31">
        <f t="shared" si="2"/>
        <v>1700</v>
      </c>
      <c r="L18" s="34"/>
      <c r="M18" s="35"/>
      <c r="O18" t="s">
        <v>37</v>
      </c>
    </row>
    <row r="19" spans="1:15">
      <c r="A19" s="21">
        <v>8</v>
      </c>
      <c r="B19" s="3" t="s">
        <v>38</v>
      </c>
      <c r="C19" s="32"/>
      <c r="D19" s="28"/>
      <c r="E19" s="28">
        <v>2500</v>
      </c>
      <c r="F19" s="22">
        <f>JAN!K19</f>
        <v>0</v>
      </c>
      <c r="G19" s="23">
        <f t="shared" si="0"/>
        <v>2500</v>
      </c>
      <c r="H19" s="72">
        <f>1500+1000</f>
        <v>2500</v>
      </c>
      <c r="I19" s="74" t="s">
        <v>83</v>
      </c>
      <c r="J19" s="71" t="s">
        <v>77</v>
      </c>
      <c r="K19" s="31">
        <f t="shared" si="2"/>
        <v>0</v>
      </c>
      <c r="L19" s="34"/>
      <c r="M19" s="35"/>
    </row>
    <row r="20" spans="1:15">
      <c r="A20" s="21">
        <v>9</v>
      </c>
      <c r="B20" s="3" t="s">
        <v>39</v>
      </c>
      <c r="C20" s="32"/>
      <c r="D20" s="28"/>
      <c r="E20" s="28">
        <v>2500</v>
      </c>
      <c r="F20" s="22">
        <f>JAN!K20</f>
        <v>0</v>
      </c>
      <c r="G20" s="23">
        <f t="shared" si="0"/>
        <v>2500</v>
      </c>
      <c r="H20" s="72">
        <f>2500</f>
        <v>2500</v>
      </c>
      <c r="I20" s="79" t="s">
        <v>84</v>
      </c>
      <c r="J20" s="71" t="s">
        <v>77</v>
      </c>
      <c r="K20" s="31">
        <f t="shared" si="2"/>
        <v>0</v>
      </c>
      <c r="L20" s="34"/>
      <c r="M20" s="35"/>
    </row>
    <row r="21" spans="1:15">
      <c r="A21" s="21">
        <v>10</v>
      </c>
      <c r="B21" s="3" t="s">
        <v>85</v>
      </c>
      <c r="C21" s="32"/>
      <c r="D21" s="28"/>
      <c r="E21" s="28">
        <v>2500</v>
      </c>
      <c r="F21" s="22">
        <f>JAN!K21</f>
        <v>0</v>
      </c>
      <c r="G21" s="23">
        <f t="shared" si="0"/>
        <v>2500</v>
      </c>
      <c r="H21" s="72">
        <f>2000</f>
        <v>2000</v>
      </c>
      <c r="I21" s="80" t="s">
        <v>86</v>
      </c>
      <c r="J21" s="71" t="s">
        <v>77</v>
      </c>
      <c r="K21" s="31">
        <f t="shared" si="2"/>
        <v>500</v>
      </c>
      <c r="L21" s="34"/>
      <c r="M21" s="35"/>
    </row>
    <row r="22" spans="1:15">
      <c r="A22" s="21">
        <v>11</v>
      </c>
      <c r="B22" s="3" t="s">
        <v>40</v>
      </c>
      <c r="C22" s="82" t="s">
        <v>41</v>
      </c>
      <c r="D22" s="28"/>
      <c r="E22" s="28">
        <v>2200</v>
      </c>
      <c r="F22" s="22">
        <f>JAN!K22</f>
        <v>0</v>
      </c>
      <c r="G22" s="23">
        <f t="shared" si="0"/>
        <v>2200</v>
      </c>
      <c r="H22" s="75">
        <f>2200</f>
        <v>2200</v>
      </c>
      <c r="I22" s="74" t="s">
        <v>87</v>
      </c>
      <c r="J22" s="71" t="s">
        <v>77</v>
      </c>
      <c r="K22" s="31">
        <f t="shared" si="2"/>
        <v>0</v>
      </c>
      <c r="L22" s="34"/>
      <c r="M22" s="35"/>
    </row>
    <row r="23" spans="1:15">
      <c r="A23" s="21">
        <v>12</v>
      </c>
      <c r="B23" s="3" t="s">
        <v>43</v>
      </c>
      <c r="C23" s="82" t="s">
        <v>44</v>
      </c>
      <c r="D23" s="28"/>
      <c r="E23" s="28">
        <v>2500</v>
      </c>
      <c r="F23" s="22">
        <f>JAN!K23</f>
        <v>0</v>
      </c>
      <c r="G23" s="23">
        <f t="shared" si="0"/>
        <v>2500</v>
      </c>
      <c r="H23" s="72"/>
      <c r="I23" s="81"/>
      <c r="J23" s="71" t="s">
        <v>77</v>
      </c>
      <c r="K23" s="31">
        <f t="shared" si="2"/>
        <v>2500</v>
      </c>
      <c r="L23" s="34" t="s">
        <v>80</v>
      </c>
      <c r="M23" s="35"/>
    </row>
    <row r="24" spans="1:15">
      <c r="A24" s="21">
        <v>13</v>
      </c>
      <c r="B24" s="3" t="s">
        <v>46</v>
      </c>
      <c r="C24" s="82" t="s">
        <v>47</v>
      </c>
      <c r="D24" s="28"/>
      <c r="E24" s="28">
        <v>2500</v>
      </c>
      <c r="F24" s="22">
        <f>JAN!K24</f>
        <v>2500</v>
      </c>
      <c r="G24" s="23">
        <f t="shared" si="0"/>
        <v>5000</v>
      </c>
      <c r="H24" s="72">
        <v>5000</v>
      </c>
      <c r="I24" s="74" t="s">
        <v>24</v>
      </c>
      <c r="J24" s="71" t="s">
        <v>77</v>
      </c>
      <c r="K24" s="31">
        <f t="shared" si="2"/>
        <v>0</v>
      </c>
      <c r="L24" s="34" t="s">
        <v>88</v>
      </c>
      <c r="M24" s="35"/>
    </row>
    <row r="25" spans="1:15">
      <c r="A25" s="21">
        <v>14</v>
      </c>
      <c r="B25" s="3" t="s">
        <v>39</v>
      </c>
      <c r="C25" s="32"/>
      <c r="D25" s="28"/>
      <c r="E25" s="28">
        <v>2500</v>
      </c>
      <c r="F25" s="22">
        <f>JAN!K25</f>
        <v>0</v>
      </c>
      <c r="G25" s="23">
        <f t="shared" si="0"/>
        <v>2500</v>
      </c>
      <c r="H25" s="72">
        <v>2500</v>
      </c>
      <c r="I25" s="83" t="s">
        <v>24</v>
      </c>
      <c r="J25" s="71" t="s">
        <v>77</v>
      </c>
      <c r="K25" s="31">
        <f t="shared" si="2"/>
        <v>0</v>
      </c>
      <c r="L25" s="34"/>
      <c r="M25" s="35"/>
    </row>
    <row r="26" spans="1:15">
      <c r="A26" s="21">
        <v>15</v>
      </c>
      <c r="B26" s="3" t="s">
        <v>49</v>
      </c>
      <c r="C26" s="82" t="s">
        <v>44</v>
      </c>
      <c r="D26" s="28"/>
      <c r="E26" s="28">
        <v>2500</v>
      </c>
      <c r="F26" s="22">
        <f>JAN!K26</f>
        <v>800</v>
      </c>
      <c r="G26" s="23">
        <f t="shared" si="0"/>
        <v>3300</v>
      </c>
      <c r="H26" s="72">
        <f>2500</f>
        <v>2500</v>
      </c>
      <c r="I26" s="81" t="s">
        <v>89</v>
      </c>
      <c r="J26" s="71" t="s">
        <v>77</v>
      </c>
      <c r="K26" s="31">
        <f t="shared" si="2"/>
        <v>800</v>
      </c>
      <c r="L26" s="34"/>
      <c r="M26" s="35"/>
    </row>
    <row r="27" spans="1:15">
      <c r="A27" s="84" t="s">
        <v>51</v>
      </c>
      <c r="B27" s="3" t="s">
        <v>52</v>
      </c>
      <c r="C27" s="82" t="s">
        <v>53</v>
      </c>
      <c r="D27" s="28"/>
      <c r="E27" s="28">
        <v>3000</v>
      </c>
      <c r="F27" s="22">
        <f>JAN!K27</f>
        <v>0</v>
      </c>
      <c r="G27" s="23">
        <f t="shared" si="0"/>
        <v>3000</v>
      </c>
      <c r="H27" s="75">
        <f>3000</f>
        <v>3000</v>
      </c>
      <c r="I27" s="74" t="s">
        <v>90</v>
      </c>
      <c r="J27" s="71" t="s">
        <v>77</v>
      </c>
      <c r="K27" s="31">
        <f t="shared" si="2"/>
        <v>0</v>
      </c>
      <c r="L27" s="34"/>
      <c r="M27" s="35" t="s">
        <v>55</v>
      </c>
    </row>
    <row r="28" spans="1:15">
      <c r="A28" s="21">
        <v>17</v>
      </c>
      <c r="B28" s="3" t="s">
        <v>21</v>
      </c>
      <c r="C28" s="32"/>
      <c r="D28" s="28"/>
      <c r="E28" s="28"/>
      <c r="F28" s="22">
        <f>JAN!K28</f>
        <v>0</v>
      </c>
      <c r="G28" s="23">
        <f t="shared" si="0"/>
        <v>0</v>
      </c>
      <c r="H28" s="72"/>
      <c r="I28" s="74"/>
      <c r="J28" s="71" t="s">
        <v>77</v>
      </c>
      <c r="K28" s="31">
        <f t="shared" si="2"/>
        <v>0</v>
      </c>
      <c r="L28" s="34"/>
      <c r="M28" s="35"/>
    </row>
    <row r="29" spans="1:15">
      <c r="A29" s="21">
        <v>19</v>
      </c>
      <c r="B29" s="3" t="s">
        <v>56</v>
      </c>
      <c r="C29" s="82" t="s">
        <v>57</v>
      </c>
      <c r="D29" s="28"/>
      <c r="E29" s="28">
        <v>2500</v>
      </c>
      <c r="F29" s="22">
        <f>JAN!K29</f>
        <v>0</v>
      </c>
      <c r="G29" s="23">
        <f t="shared" si="0"/>
        <v>2500</v>
      </c>
      <c r="H29" s="75">
        <f>2500</f>
        <v>2500</v>
      </c>
      <c r="I29" s="74" t="s">
        <v>91</v>
      </c>
      <c r="J29" s="71" t="s">
        <v>77</v>
      </c>
      <c r="K29" s="31">
        <f t="shared" si="2"/>
        <v>0</v>
      </c>
      <c r="L29" s="34"/>
      <c r="M29" s="35"/>
    </row>
    <row r="30" spans="1:15">
      <c r="A30" s="21">
        <v>20</v>
      </c>
      <c r="B30" s="39" t="s">
        <v>39</v>
      </c>
      <c r="C30" s="32"/>
      <c r="D30" s="28"/>
      <c r="E30" s="28">
        <v>2500</v>
      </c>
      <c r="F30" s="22">
        <f>JAN!K30</f>
        <v>0</v>
      </c>
      <c r="G30" s="23">
        <f t="shared" si="0"/>
        <v>2500</v>
      </c>
      <c r="H30" s="72">
        <v>2500</v>
      </c>
      <c r="I30" s="81" t="s">
        <v>24</v>
      </c>
      <c r="J30" s="71" t="s">
        <v>77</v>
      </c>
      <c r="K30" s="31">
        <f t="shared" si="2"/>
        <v>0</v>
      </c>
      <c r="L30" s="34"/>
      <c r="M30" s="35"/>
    </row>
    <row r="31" spans="1:15">
      <c r="A31" s="21">
        <v>21</v>
      </c>
      <c r="B31" s="39" t="s">
        <v>59</v>
      </c>
      <c r="C31" s="82" t="s">
        <v>60</v>
      </c>
      <c r="D31" s="28"/>
      <c r="E31" s="28">
        <v>2500</v>
      </c>
      <c r="F31" s="22">
        <f>JAN!K31</f>
        <v>0</v>
      </c>
      <c r="G31" s="23">
        <f t="shared" si="0"/>
        <v>2500</v>
      </c>
      <c r="H31" s="72"/>
      <c r="I31" s="81"/>
      <c r="J31" s="71" t="s">
        <v>77</v>
      </c>
      <c r="K31" s="31">
        <f t="shared" si="2"/>
        <v>2500</v>
      </c>
      <c r="L31" s="34"/>
      <c r="M31" s="35"/>
    </row>
    <row r="32" spans="1:15">
      <c r="A32" s="2"/>
      <c r="B32" s="39"/>
      <c r="C32" s="32"/>
      <c r="D32" s="40">
        <f>SUM(D13:D29)</f>
        <v>0</v>
      </c>
      <c r="E32" s="40">
        <f>SUM(E10:E31)</f>
        <v>47700</v>
      </c>
      <c r="F32" s="40">
        <f t="shared" ref="F32:H32" si="3">SUM(F10:F31)</f>
        <v>4400</v>
      </c>
      <c r="G32" s="40">
        <f t="shared" si="3"/>
        <v>52100</v>
      </c>
      <c r="H32" s="40">
        <f t="shared" si="3"/>
        <v>39900</v>
      </c>
      <c r="I32" s="40"/>
      <c r="J32" s="40">
        <f>SUM(J13:J29)</f>
        <v>0</v>
      </c>
      <c r="K32" s="40">
        <f>SUM(K10:K31)</f>
        <v>12200</v>
      </c>
      <c r="L32" s="41"/>
      <c r="M32" s="41"/>
    </row>
    <row r="33" spans="1:13">
      <c r="A33" s="42" t="s">
        <v>62</v>
      </c>
      <c r="B33" s="3"/>
      <c r="C33" s="32"/>
      <c r="D33" s="43"/>
      <c r="E33" s="44"/>
      <c r="F33" s="45"/>
      <c r="G33" s="44"/>
      <c r="H33" s="44"/>
      <c r="I33" s="2"/>
      <c r="J33" s="2"/>
      <c r="K33" s="44"/>
      <c r="L33" s="44"/>
      <c r="M33" s="44"/>
    </row>
    <row r="34" spans="1:13">
      <c r="A34" s="46" t="s">
        <v>63</v>
      </c>
      <c r="B34" s="3"/>
      <c r="C34" s="32"/>
      <c r="D34" s="43"/>
      <c r="E34" s="44"/>
      <c r="F34" s="45"/>
      <c r="G34" s="44"/>
      <c r="H34" s="44"/>
      <c r="I34" s="2"/>
      <c r="J34" s="2"/>
      <c r="K34" s="44"/>
      <c r="L34" s="44"/>
      <c r="M34" s="44"/>
    </row>
    <row r="35" spans="1:13">
      <c r="A35" s="3" t="s">
        <v>64</v>
      </c>
      <c r="B35" s="3"/>
      <c r="C35" s="32"/>
      <c r="D35" s="3"/>
      <c r="E35" s="3"/>
      <c r="F35" s="16"/>
      <c r="G35" s="3"/>
      <c r="H35" s="47">
        <f>H32*10%</f>
        <v>3990</v>
      </c>
      <c r="I35" s="3"/>
      <c r="J35" s="3"/>
      <c r="K35" s="3"/>
      <c r="L35" s="13"/>
      <c r="M35" s="3"/>
    </row>
    <row r="36" spans="1:13">
      <c r="A36" s="3" t="s">
        <v>66</v>
      </c>
      <c r="B36" s="3"/>
      <c r="C36" s="32"/>
      <c r="D36" s="3"/>
      <c r="E36" s="3"/>
      <c r="F36" s="16"/>
      <c r="G36" s="3"/>
      <c r="H36" s="47">
        <f>H30+H25+H24+H15+H13</f>
        <v>15000</v>
      </c>
      <c r="I36" s="3"/>
      <c r="J36" s="3"/>
      <c r="K36" s="3"/>
      <c r="L36" s="13"/>
      <c r="M36" s="3"/>
    </row>
    <row r="37" spans="1:13">
      <c r="A37" s="13" t="s">
        <v>67</v>
      </c>
      <c r="B37" s="13"/>
      <c r="C37" s="13"/>
      <c r="D37" s="13"/>
      <c r="E37" s="13"/>
      <c r="F37" s="48"/>
      <c r="G37" s="13"/>
      <c r="H37" s="49">
        <f>SUM(H35:H36)</f>
        <v>18990</v>
      </c>
      <c r="I37" s="13"/>
      <c r="J37" s="3"/>
      <c r="K37" s="13"/>
      <c r="L37" s="13"/>
      <c r="M37" s="13"/>
    </row>
    <row r="38" spans="1:13">
      <c r="A38" s="3" t="s">
        <v>68</v>
      </c>
      <c r="B38" s="3"/>
      <c r="C38" s="3"/>
      <c r="D38" s="3"/>
      <c r="E38" s="3"/>
      <c r="F38" s="16"/>
      <c r="G38" s="3"/>
      <c r="H38" s="50">
        <f>JAN!K40</f>
        <v>-400</v>
      </c>
      <c r="I38" s="51" t="s">
        <v>69</v>
      </c>
      <c r="J38" s="51" t="s">
        <v>70</v>
      </c>
      <c r="K38" s="51" t="s">
        <v>71</v>
      </c>
      <c r="L38" s="52"/>
      <c r="M38" s="52"/>
    </row>
    <row r="39" ht="15.75" spans="1:13">
      <c r="A39" s="2" t="s">
        <v>72</v>
      </c>
      <c r="B39" s="2"/>
      <c r="C39" s="2"/>
      <c r="D39" s="2"/>
      <c r="E39" s="2"/>
      <c r="F39" s="45"/>
      <c r="G39" s="13"/>
      <c r="H39" s="53">
        <f>H32-H37+H38</f>
        <v>20510</v>
      </c>
      <c r="I39" s="48">
        <v>15000</v>
      </c>
      <c r="J39" s="48">
        <v>0</v>
      </c>
      <c r="K39" s="54">
        <f>H39-I39-J39</f>
        <v>5510</v>
      </c>
      <c r="L39" s="52"/>
      <c r="M39" s="52"/>
    </row>
    <row r="40" ht="15.75" spans="1:13">
      <c r="A40" s="3" t="s">
        <v>73</v>
      </c>
      <c r="B40" s="3"/>
      <c r="C40" s="3"/>
      <c r="D40" s="3"/>
      <c r="E40" s="3"/>
      <c r="F40" s="16"/>
      <c r="G40" s="3"/>
      <c r="H40" s="3"/>
      <c r="I40" s="3"/>
      <c r="J40" s="3"/>
      <c r="K40" s="55">
        <v>46081</v>
      </c>
      <c r="L40" s="56"/>
      <c r="M40" s="55"/>
    </row>
    <row r="41" spans="1:13">
      <c r="H41" s="57"/>
    </row>
    <row r="44" spans="1:13">
      <c r="H44">
        <f>H32/G32*100</f>
        <v>76.5834932821497</v>
      </c>
    </row>
    <row r="49" spans="8:17">
      <c r="Q49" t="s">
        <v>74</v>
      </c>
    </row>
    <row r="50" spans="8:17">
      <c r="H50" t="s">
        <v>75</v>
      </c>
      <c r="I50" s="57" t="e">
        <f>H13+#REF!+H14+H18+H22+H25+H26+H27+H29+H30+4700</f>
        <v>#REF!</v>
      </c>
    </row>
    <row r="51" spans="8:17">
      <c r="H51" t="s">
        <v>76</v>
      </c>
      <c r="I51" s="57">
        <f>H15+300</f>
        <v>2800</v>
      </c>
    </row>
  </sheetData>
  <mergeCells count="1">
    <mergeCell ref="A3:K3"/>
  </mergeCells>
  <pageMargins left="0.25" right="0.25" top="0.75" bottom="0.75" header="0.3" footer="0.3"/>
  <pageSetup paperSize="1" scale="64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52"/>
  <sheetViews>
    <sheetView zoomScale="95" zoomScaleNormal="95" workbookViewId="0">
      <selection activeCell="H37" sqref="H37"/>
    </sheetView>
  </sheetViews>
  <sheetFormatPr defaultColWidth="9" defaultRowHeight="15"/>
  <cols>
    <col min="2" max="2" width="19.1047619047619" customWidth="1"/>
    <col min="3" max="3" width="20.4380952380952" customWidth="1"/>
    <col min="4" max="4" width="9.66666666666667" customWidth="1"/>
    <col min="5" max="5" width="12.2190476190476" customWidth="1"/>
    <col min="6" max="6" width="7.43809523809524" customWidth="1"/>
    <col min="7" max="7" width="9.55238095238095" customWidth="1"/>
    <col min="8" max="8" width="10.2190476190476" customWidth="1"/>
    <col min="9" max="9" width="27.3333333333333" customWidth="1"/>
    <col min="10" max="10" width="9.55238095238095" customWidth="1"/>
    <col min="11" max="11" width="9.43809523809524" customWidth="1"/>
    <col min="12" max="12" width="10.1047619047619" customWidth="1"/>
    <col min="13" max="13" width="16.6666666666667" customWidth="1"/>
  </cols>
  <sheetData>
    <row r="1" spans="1:13">
      <c r="A1" s="2"/>
      <c r="B1" s="3"/>
      <c r="C1" s="4" t="s">
        <v>0</v>
      </c>
      <c r="D1" s="5"/>
      <c r="E1" s="3"/>
      <c r="F1" s="6"/>
      <c r="G1" s="7"/>
      <c r="H1" s="7"/>
      <c r="I1" s="8"/>
      <c r="J1" s="8"/>
      <c r="K1" s="9"/>
      <c r="L1" s="9"/>
      <c r="M1" s="9"/>
    </row>
    <row r="2" spans="1:13">
      <c r="A2" s="2" t="s">
        <v>1</v>
      </c>
      <c r="B2" s="2"/>
      <c r="C2" s="2"/>
      <c r="D2" s="2"/>
      <c r="E2" s="7"/>
      <c r="F2" s="6"/>
      <c r="G2" s="7"/>
      <c r="H2" s="7"/>
      <c r="I2" s="8"/>
      <c r="J2" s="8"/>
      <c r="K2" s="9"/>
      <c r="L2" s="9"/>
      <c r="M2" s="9"/>
    </row>
    <row r="3" spans="1:13">
      <c r="A3" s="10">
        <v>46112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2"/>
      <c r="M3" s="2"/>
    </row>
    <row r="4" spans="1:13">
      <c r="A4" s="2"/>
      <c r="B4" s="2"/>
      <c r="C4" s="2"/>
      <c r="D4" s="7"/>
      <c r="E4" s="7"/>
      <c r="F4" s="6"/>
      <c r="G4" s="7"/>
      <c r="H4" s="7"/>
      <c r="I4" s="8" t="s">
        <v>2</v>
      </c>
      <c r="J4" s="8"/>
      <c r="K4" s="12"/>
      <c r="L4" s="12"/>
      <c r="M4" s="12"/>
    </row>
    <row r="5" spans="1:13">
      <c r="A5" s="13"/>
      <c r="B5" s="13"/>
      <c r="C5" s="13"/>
      <c r="D5" s="12"/>
      <c r="E5" s="12"/>
      <c r="F5" s="14"/>
      <c r="G5" s="12"/>
      <c r="H5" s="12"/>
      <c r="I5" s="15" t="s">
        <v>3</v>
      </c>
      <c r="J5" s="15"/>
      <c r="K5" s="12"/>
      <c r="L5" s="12"/>
      <c r="M5" s="12"/>
    </row>
    <row r="6" spans="1:13">
      <c r="A6" s="13" t="s">
        <v>4</v>
      </c>
      <c r="B6" s="13"/>
      <c r="C6" s="13"/>
      <c r="D6" s="3"/>
      <c r="E6" s="3"/>
      <c r="F6" s="16"/>
      <c r="G6" s="3"/>
      <c r="H6" s="12" t="s">
        <v>5</v>
      </c>
      <c r="I6" s="15"/>
      <c r="J6" s="15"/>
      <c r="K6" s="12"/>
      <c r="L6" s="12"/>
      <c r="M6" s="12"/>
    </row>
    <row r="7" spans="1:13">
      <c r="A7" s="13"/>
      <c r="B7" s="13"/>
      <c r="C7" s="13"/>
      <c r="D7" s="3"/>
      <c r="E7" s="3"/>
      <c r="F7" s="16"/>
      <c r="G7" s="3"/>
      <c r="H7" s="12" t="s">
        <v>6</v>
      </c>
      <c r="I7" s="15"/>
      <c r="J7" s="15"/>
      <c r="K7" s="12"/>
      <c r="L7" s="12"/>
      <c r="M7" s="12"/>
    </row>
    <row r="8" spans="1:13">
      <c r="A8" s="13" t="s">
        <v>7</v>
      </c>
      <c r="B8" s="13"/>
      <c r="C8" s="13"/>
      <c r="D8" s="17"/>
      <c r="E8" s="12"/>
      <c r="F8" s="14"/>
      <c r="G8" s="12"/>
      <c r="H8" s="12"/>
      <c r="I8" s="15"/>
      <c r="J8" s="15"/>
      <c r="K8" s="12"/>
      <c r="L8" s="12"/>
      <c r="M8" s="12"/>
    </row>
    <row r="9" ht="22.5" spans="1:13">
      <c r="A9" s="2" t="s">
        <v>8</v>
      </c>
      <c r="B9" s="2" t="s">
        <v>9</v>
      </c>
      <c r="C9" s="2" t="s">
        <v>10</v>
      </c>
      <c r="D9" s="18" t="s">
        <v>11</v>
      </c>
      <c r="E9" s="19" t="s">
        <v>12</v>
      </c>
      <c r="F9" s="6" t="s">
        <v>13</v>
      </c>
      <c r="G9" s="20" t="s">
        <v>14</v>
      </c>
      <c r="H9" s="7" t="s">
        <v>15</v>
      </c>
      <c r="I9" s="2" t="s">
        <v>16</v>
      </c>
      <c r="J9" s="2" t="s">
        <v>17</v>
      </c>
      <c r="K9" s="7" t="s">
        <v>18</v>
      </c>
      <c r="L9" s="7" t="s">
        <v>19</v>
      </c>
      <c r="M9" s="7" t="s">
        <v>20</v>
      </c>
    </row>
    <row r="10" spans="1:13">
      <c r="A10" s="21"/>
      <c r="B10" s="2" t="s">
        <v>21</v>
      </c>
      <c r="C10" s="2"/>
      <c r="D10" s="18"/>
      <c r="E10" s="19"/>
      <c r="F10" s="22">
        <f>FEB!K10</f>
        <v>0</v>
      </c>
      <c r="G10" s="23">
        <f>D10+E10+F10</f>
        <v>0</v>
      </c>
      <c r="H10" s="7"/>
      <c r="I10" s="2"/>
      <c r="J10" s="71" t="s">
        <v>92</v>
      </c>
      <c r="K10" s="7">
        <f>G10-H10</f>
        <v>0</v>
      </c>
      <c r="L10" s="7"/>
      <c r="M10" s="7"/>
    </row>
    <row r="11" spans="1:13">
      <c r="A11" s="21"/>
      <c r="B11" s="2" t="s">
        <v>21</v>
      </c>
      <c r="C11" s="2"/>
      <c r="D11" s="18"/>
      <c r="E11" s="19"/>
      <c r="F11" s="22">
        <f>FEB!K11</f>
        <v>0</v>
      </c>
      <c r="G11" s="23">
        <f t="shared" ref="G11:G30" si="0">D11+E11+F11</f>
        <v>0</v>
      </c>
      <c r="H11" s="7"/>
      <c r="I11" s="2"/>
      <c r="J11" s="71" t="s">
        <v>92</v>
      </c>
      <c r="K11" s="7">
        <f t="shared" ref="K11:K12" si="1">G11-H11</f>
        <v>0</v>
      </c>
      <c r="L11" s="7"/>
      <c r="M11" s="7"/>
    </row>
    <row r="12" s="1" customFormat="1" spans="1:13">
      <c r="A12" s="3">
        <v>1</v>
      </c>
      <c r="B12" s="3" t="s">
        <v>93</v>
      </c>
      <c r="C12" s="3"/>
      <c r="D12" s="27"/>
      <c r="E12" s="28">
        <v>2500</v>
      </c>
      <c r="F12" s="22">
        <f>FEB!K12</f>
        <v>900</v>
      </c>
      <c r="G12" s="23">
        <f t="shared" si="0"/>
        <v>3400</v>
      </c>
      <c r="H12" s="72">
        <f>2500</f>
        <v>2500</v>
      </c>
      <c r="I12" s="74" t="s">
        <v>94</v>
      </c>
      <c r="J12" s="71" t="s">
        <v>92</v>
      </c>
      <c r="K12" s="31">
        <f t="shared" si="1"/>
        <v>900</v>
      </c>
      <c r="L12" s="31"/>
      <c r="M12" s="31"/>
    </row>
    <row r="13" spans="1:13">
      <c r="A13" s="21">
        <v>2</v>
      </c>
      <c r="B13" s="3" t="s">
        <v>25</v>
      </c>
      <c r="C13" s="82" t="s">
        <v>26</v>
      </c>
      <c r="D13" s="28"/>
      <c r="E13" s="28">
        <v>2500</v>
      </c>
      <c r="F13" s="22">
        <f>FEB!K13</f>
        <v>0</v>
      </c>
      <c r="G13" s="23">
        <f t="shared" si="0"/>
        <v>2500</v>
      </c>
      <c r="H13" s="72">
        <f>1800</f>
        <v>1800</v>
      </c>
      <c r="I13" s="74" t="s">
        <v>95</v>
      </c>
      <c r="J13" s="71" t="s">
        <v>92</v>
      </c>
      <c r="K13" s="31">
        <f t="shared" ref="K13:K30" si="2">G13-H13</f>
        <v>700</v>
      </c>
      <c r="L13" s="34"/>
      <c r="M13" s="35"/>
    </row>
    <row r="14" spans="1:13">
      <c r="A14" s="21">
        <v>3</v>
      </c>
      <c r="B14" s="3" t="s">
        <v>27</v>
      </c>
      <c r="C14" s="82" t="s">
        <v>28</v>
      </c>
      <c r="D14" s="28"/>
      <c r="E14" s="28">
        <v>2500</v>
      </c>
      <c r="F14" s="22">
        <f>FEB!K14</f>
        <v>800</v>
      </c>
      <c r="G14" s="23">
        <f t="shared" si="0"/>
        <v>3300</v>
      </c>
      <c r="H14" s="75">
        <f>600</f>
        <v>600</v>
      </c>
      <c r="I14" s="74" t="s">
        <v>96</v>
      </c>
      <c r="J14" s="71" t="s">
        <v>92</v>
      </c>
      <c r="K14" s="31">
        <f t="shared" si="2"/>
        <v>2700</v>
      </c>
      <c r="L14" s="34" t="s">
        <v>97</v>
      </c>
      <c r="M14" s="35"/>
    </row>
    <row r="15" spans="1:13">
      <c r="A15" s="21">
        <v>4</v>
      </c>
      <c r="B15" s="3" t="s">
        <v>98</v>
      </c>
      <c r="C15" s="32"/>
      <c r="D15" s="28"/>
      <c r="E15" s="28">
        <v>2500</v>
      </c>
      <c r="F15" s="22">
        <f>FEB!K15</f>
        <v>0</v>
      </c>
      <c r="G15" s="23">
        <f t="shared" si="0"/>
        <v>2500</v>
      </c>
      <c r="H15" s="75"/>
      <c r="I15" s="74"/>
      <c r="J15" s="71" t="s">
        <v>92</v>
      </c>
      <c r="K15" s="31">
        <f t="shared" si="2"/>
        <v>2500</v>
      </c>
      <c r="L15" s="34" t="s">
        <v>97</v>
      </c>
      <c r="M15" s="35"/>
    </row>
    <row r="16" spans="1:13">
      <c r="A16" s="21">
        <v>5</v>
      </c>
      <c r="B16" s="3" t="s">
        <v>31</v>
      </c>
      <c r="C16" s="32"/>
      <c r="D16" s="28"/>
      <c r="E16" s="28">
        <v>2500</v>
      </c>
      <c r="F16" s="22">
        <f>FEB!K16</f>
        <v>2500</v>
      </c>
      <c r="G16" s="23">
        <f t="shared" si="0"/>
        <v>5000</v>
      </c>
      <c r="H16" s="75">
        <f>5000</f>
        <v>5000</v>
      </c>
      <c r="I16" s="74" t="s">
        <v>99</v>
      </c>
      <c r="J16" s="71" t="s">
        <v>92</v>
      </c>
      <c r="K16" s="31">
        <f t="shared" si="2"/>
        <v>0</v>
      </c>
      <c r="L16" s="34"/>
      <c r="M16" s="35"/>
    </row>
    <row r="17" spans="1:15">
      <c r="A17" s="21">
        <v>6</v>
      </c>
      <c r="B17" s="3" t="s">
        <v>100</v>
      </c>
      <c r="C17" s="32"/>
      <c r="D17" s="28"/>
      <c r="E17" s="28">
        <v>2500</v>
      </c>
      <c r="F17" s="22">
        <f>FEB!K17</f>
        <v>0</v>
      </c>
      <c r="G17" s="23">
        <f t="shared" si="0"/>
        <v>2500</v>
      </c>
      <c r="H17" s="75">
        <f>2500</f>
        <v>2500</v>
      </c>
      <c r="I17" s="74" t="s">
        <v>101</v>
      </c>
      <c r="J17" s="71" t="s">
        <v>92</v>
      </c>
      <c r="K17" s="31">
        <f t="shared" si="2"/>
        <v>0</v>
      </c>
      <c r="L17" s="34"/>
      <c r="M17" s="35"/>
    </row>
    <row r="18" spans="1:15">
      <c r="A18" s="21">
        <v>7</v>
      </c>
      <c r="B18" s="3" t="s">
        <v>34</v>
      </c>
      <c r="C18" s="82" t="s">
        <v>35</v>
      </c>
      <c r="D18" s="28"/>
      <c r="E18" s="28">
        <v>2500</v>
      </c>
      <c r="F18" s="22">
        <f>FEB!K18</f>
        <v>1700</v>
      </c>
      <c r="G18" s="23">
        <f t="shared" si="0"/>
        <v>4200</v>
      </c>
      <c r="H18" s="75">
        <f>1500+1000</f>
        <v>2500</v>
      </c>
      <c r="I18" s="74" t="s">
        <v>102</v>
      </c>
      <c r="J18" s="71" t="s">
        <v>92</v>
      </c>
      <c r="K18" s="31">
        <f t="shared" si="2"/>
        <v>1700</v>
      </c>
      <c r="L18" s="34"/>
      <c r="M18" s="35"/>
      <c r="O18" t="s">
        <v>37</v>
      </c>
    </row>
    <row r="19" spans="1:15">
      <c r="A19" s="21">
        <v>8</v>
      </c>
      <c r="B19" s="3" t="s">
        <v>38</v>
      </c>
      <c r="C19" s="32"/>
      <c r="D19" s="28"/>
      <c r="E19" s="28">
        <v>2500</v>
      </c>
      <c r="F19" s="22">
        <f>FEB!K19</f>
        <v>0</v>
      </c>
      <c r="G19" s="23">
        <f t="shared" si="0"/>
        <v>2500</v>
      </c>
      <c r="H19" s="72">
        <f>2500</f>
        <v>2500</v>
      </c>
      <c r="I19" s="74" t="s">
        <v>103</v>
      </c>
      <c r="J19" s="71" t="s">
        <v>92</v>
      </c>
      <c r="K19" s="31">
        <f t="shared" si="2"/>
        <v>0</v>
      </c>
      <c r="L19" s="34"/>
      <c r="M19" s="35"/>
    </row>
    <row r="20" spans="1:15">
      <c r="A20" s="21">
        <v>9</v>
      </c>
      <c r="B20" s="3" t="s">
        <v>39</v>
      </c>
      <c r="C20" s="32"/>
      <c r="D20" s="28"/>
      <c r="E20" s="28">
        <v>2500</v>
      </c>
      <c r="F20" s="22">
        <f>FEB!K20</f>
        <v>0</v>
      </c>
      <c r="G20" s="23">
        <f t="shared" si="0"/>
        <v>2500</v>
      </c>
      <c r="H20" s="72">
        <f>2000</f>
        <v>2000</v>
      </c>
      <c r="I20" s="79" t="s">
        <v>104</v>
      </c>
      <c r="J20" s="71" t="s">
        <v>92</v>
      </c>
      <c r="K20" s="31">
        <f t="shared" si="2"/>
        <v>500</v>
      </c>
      <c r="L20" s="34"/>
      <c r="M20" s="35"/>
    </row>
    <row r="21" spans="1:15">
      <c r="A21" s="21">
        <v>10</v>
      </c>
      <c r="B21" s="3" t="s">
        <v>85</v>
      </c>
      <c r="C21" s="32"/>
      <c r="D21" s="28"/>
      <c r="E21" s="28">
        <v>2500</v>
      </c>
      <c r="F21" s="22">
        <f>FEB!K21</f>
        <v>500</v>
      </c>
      <c r="G21" s="23">
        <f t="shared" si="0"/>
        <v>3000</v>
      </c>
      <c r="H21" s="72">
        <f>1000</f>
        <v>1000</v>
      </c>
      <c r="I21" s="80" t="s">
        <v>105</v>
      </c>
      <c r="J21" s="71" t="s">
        <v>92</v>
      </c>
      <c r="K21" s="31">
        <f t="shared" si="2"/>
        <v>2000</v>
      </c>
      <c r="L21" s="34"/>
      <c r="M21" s="35"/>
    </row>
    <row r="22" spans="1:15">
      <c r="A22" s="21">
        <v>11</v>
      </c>
      <c r="B22" s="3" t="s">
        <v>40</v>
      </c>
      <c r="C22" s="82" t="s">
        <v>41</v>
      </c>
      <c r="D22" s="28"/>
      <c r="E22" s="28">
        <v>2200</v>
      </c>
      <c r="F22" s="22">
        <f>FEB!K22</f>
        <v>0</v>
      </c>
      <c r="G22" s="23">
        <f t="shared" si="0"/>
        <v>2200</v>
      </c>
      <c r="H22" s="75">
        <f>2200</f>
        <v>2200</v>
      </c>
      <c r="I22" s="74" t="s">
        <v>106</v>
      </c>
      <c r="J22" s="71" t="s">
        <v>92</v>
      </c>
      <c r="K22" s="31">
        <f t="shared" si="2"/>
        <v>0</v>
      </c>
      <c r="L22" s="34"/>
      <c r="M22" s="35"/>
    </row>
    <row r="23" spans="1:15">
      <c r="A23" s="21">
        <v>12</v>
      </c>
      <c r="B23" s="3" t="s">
        <v>39</v>
      </c>
      <c r="C23" s="32"/>
      <c r="D23" s="28"/>
      <c r="E23" s="28">
        <v>2500</v>
      </c>
      <c r="F23" s="22"/>
      <c r="G23" s="23">
        <f t="shared" si="0"/>
        <v>2500</v>
      </c>
      <c r="H23" s="72">
        <f>2500</f>
        <v>2500</v>
      </c>
      <c r="I23" s="83" t="s">
        <v>24</v>
      </c>
      <c r="J23" s="71" t="s">
        <v>92</v>
      </c>
      <c r="K23" s="31">
        <f t="shared" si="2"/>
        <v>0</v>
      </c>
      <c r="L23" s="34"/>
      <c r="M23" s="35"/>
    </row>
    <row r="24" spans="1:15">
      <c r="A24" s="21">
        <v>13</v>
      </c>
      <c r="B24" s="3" t="s">
        <v>46</v>
      </c>
      <c r="C24" s="82" t="s">
        <v>47</v>
      </c>
      <c r="D24" s="28"/>
      <c r="E24" s="28">
        <v>2500</v>
      </c>
      <c r="F24" s="22">
        <f>FEB!K24</f>
        <v>0</v>
      </c>
      <c r="G24" s="23">
        <f t="shared" si="0"/>
        <v>2500</v>
      </c>
      <c r="H24" s="72">
        <f>2500</f>
        <v>2500</v>
      </c>
      <c r="I24" s="74" t="s">
        <v>24</v>
      </c>
      <c r="J24" s="71" t="s">
        <v>92</v>
      </c>
      <c r="K24" s="31">
        <f t="shared" si="2"/>
        <v>0</v>
      </c>
      <c r="L24" s="34" t="s">
        <v>88</v>
      </c>
      <c r="M24" s="35"/>
    </row>
    <row r="25" spans="1:15">
      <c r="A25" s="21">
        <v>14</v>
      </c>
      <c r="B25" s="3" t="s">
        <v>39</v>
      </c>
      <c r="C25" s="32"/>
      <c r="D25" s="28"/>
      <c r="E25" s="28">
        <v>2500</v>
      </c>
      <c r="F25" s="22">
        <f>FEB!K25</f>
        <v>0</v>
      </c>
      <c r="G25" s="23">
        <f t="shared" si="0"/>
        <v>2500</v>
      </c>
      <c r="H25" s="72">
        <f>2500</f>
        <v>2500</v>
      </c>
      <c r="I25" s="83" t="s">
        <v>107</v>
      </c>
      <c r="J25" s="71" t="s">
        <v>92</v>
      </c>
      <c r="K25" s="31">
        <f t="shared" si="2"/>
        <v>0</v>
      </c>
      <c r="L25" s="34"/>
      <c r="M25" s="35"/>
    </row>
    <row r="26" spans="1:15">
      <c r="A26" s="21">
        <v>15</v>
      </c>
      <c r="B26" s="3" t="s">
        <v>49</v>
      </c>
      <c r="C26" s="82" t="s">
        <v>44</v>
      </c>
      <c r="D26" s="28"/>
      <c r="E26" s="28">
        <v>2500</v>
      </c>
      <c r="F26" s="22">
        <f>FEB!K26</f>
        <v>800</v>
      </c>
      <c r="G26" s="23">
        <f t="shared" si="0"/>
        <v>3300</v>
      </c>
      <c r="H26" s="72">
        <f>2700</f>
        <v>2700</v>
      </c>
      <c r="I26" s="81" t="s">
        <v>108</v>
      </c>
      <c r="J26" s="71" t="s">
        <v>92</v>
      </c>
      <c r="K26" s="31">
        <f t="shared" si="2"/>
        <v>600</v>
      </c>
      <c r="L26" s="34"/>
      <c r="M26" s="35"/>
    </row>
    <row r="27" spans="1:15">
      <c r="A27" s="84" t="s">
        <v>51</v>
      </c>
      <c r="B27" s="3" t="s">
        <v>52</v>
      </c>
      <c r="C27" s="82" t="s">
        <v>53</v>
      </c>
      <c r="D27" s="28"/>
      <c r="E27" s="28">
        <v>3000</v>
      </c>
      <c r="F27" s="22">
        <f>FEB!K27</f>
        <v>0</v>
      </c>
      <c r="G27" s="23">
        <f t="shared" si="0"/>
        <v>3000</v>
      </c>
      <c r="H27" s="75">
        <f>3000</f>
        <v>3000</v>
      </c>
      <c r="I27" s="74" t="s">
        <v>109</v>
      </c>
      <c r="J27" s="71" t="s">
        <v>92</v>
      </c>
      <c r="K27" s="31">
        <f t="shared" si="2"/>
        <v>0</v>
      </c>
      <c r="L27" s="34"/>
      <c r="M27" s="35" t="s">
        <v>55</v>
      </c>
    </row>
    <row r="28" spans="1:15">
      <c r="A28" s="21">
        <v>17</v>
      </c>
      <c r="B28" s="3" t="s">
        <v>21</v>
      </c>
      <c r="C28" s="32"/>
      <c r="D28" s="28"/>
      <c r="E28" s="28"/>
      <c r="F28" s="22">
        <f>FEB!K28</f>
        <v>0</v>
      </c>
      <c r="G28" s="23">
        <f t="shared" si="0"/>
        <v>0</v>
      </c>
      <c r="H28" s="72"/>
      <c r="I28" s="74"/>
      <c r="J28" s="71" t="s">
        <v>92</v>
      </c>
      <c r="K28" s="31">
        <f t="shared" si="2"/>
        <v>0</v>
      </c>
      <c r="L28" s="34"/>
      <c r="M28" s="35"/>
    </row>
    <row r="29" spans="1:15">
      <c r="A29" s="21">
        <v>19</v>
      </c>
      <c r="B29" s="3" t="s">
        <v>56</v>
      </c>
      <c r="C29" s="82" t="s">
        <v>57</v>
      </c>
      <c r="D29" s="28"/>
      <c r="E29" s="28">
        <v>2500</v>
      </c>
      <c r="F29" s="22">
        <f>FEB!K29</f>
        <v>0</v>
      </c>
      <c r="G29" s="23">
        <f t="shared" si="0"/>
        <v>2500</v>
      </c>
      <c r="H29" s="75">
        <f>2500</f>
        <v>2500</v>
      </c>
      <c r="I29" s="74" t="s">
        <v>24</v>
      </c>
      <c r="J29" s="71" t="s">
        <v>92</v>
      </c>
      <c r="K29" s="31">
        <f t="shared" si="2"/>
        <v>0</v>
      </c>
      <c r="L29" s="34" t="s">
        <v>110</v>
      </c>
      <c r="M29" s="35"/>
    </row>
    <row r="30" spans="1:15">
      <c r="A30" s="21">
        <v>21</v>
      </c>
      <c r="B30" s="39" t="s">
        <v>59</v>
      </c>
      <c r="C30" s="82" t="s">
        <v>60</v>
      </c>
      <c r="D30" s="28"/>
      <c r="E30" s="28">
        <v>2500</v>
      </c>
      <c r="F30" s="22">
        <f>FEB!K31</f>
        <v>2500</v>
      </c>
      <c r="G30" s="23">
        <f t="shared" si="0"/>
        <v>5000</v>
      </c>
      <c r="H30" s="72">
        <f>2500+2500</f>
        <v>5000</v>
      </c>
      <c r="I30" s="81" t="s">
        <v>111</v>
      </c>
      <c r="J30" s="71" t="s">
        <v>92</v>
      </c>
      <c r="K30" s="31">
        <f t="shared" si="2"/>
        <v>0</v>
      </c>
      <c r="L30" s="34"/>
      <c r="M30" s="35"/>
    </row>
    <row r="31" spans="1:15">
      <c r="A31" s="2"/>
      <c r="B31" s="39"/>
      <c r="C31" s="32"/>
      <c r="D31" s="40">
        <f>SUM(D13:D29)</f>
        <v>0</v>
      </c>
      <c r="E31" s="40">
        <f>SUM(E10:E30)</f>
        <v>45200</v>
      </c>
      <c r="F31" s="40">
        <f>SUM(F10:F30)</f>
        <v>9700</v>
      </c>
      <c r="G31" s="40">
        <f>SUM(G10:G30)</f>
        <v>54900</v>
      </c>
      <c r="H31" s="40">
        <f>SUM(H10:H30)</f>
        <v>43300</v>
      </c>
      <c r="I31" s="40"/>
      <c r="J31" s="40">
        <f>SUM(J13:J29)</f>
        <v>0</v>
      </c>
      <c r="K31" s="40">
        <f>SUM(K10:K30)</f>
        <v>11600</v>
      </c>
      <c r="L31" s="41"/>
      <c r="M31" s="41"/>
    </row>
    <row r="32" spans="1:15">
      <c r="A32" s="42" t="s">
        <v>62</v>
      </c>
      <c r="B32" s="3"/>
      <c r="C32" s="32"/>
      <c r="D32" s="43"/>
      <c r="E32" s="44"/>
      <c r="F32" s="45"/>
      <c r="G32" s="44"/>
      <c r="H32" s="44"/>
      <c r="I32" s="2"/>
      <c r="J32" s="2"/>
      <c r="K32" s="44"/>
      <c r="L32" s="44"/>
      <c r="M32" s="44"/>
    </row>
    <row r="33" spans="1:13">
      <c r="A33" s="46" t="s">
        <v>63</v>
      </c>
      <c r="B33" s="3"/>
      <c r="C33" s="32"/>
      <c r="D33" s="43"/>
      <c r="E33" s="44"/>
      <c r="F33" s="45"/>
      <c r="G33" s="44"/>
      <c r="H33" s="44"/>
      <c r="I33" s="2"/>
      <c r="J33" s="2"/>
      <c r="K33" s="44"/>
      <c r="L33" s="44"/>
      <c r="M33" s="44"/>
    </row>
    <row r="34" spans="1:13">
      <c r="A34" s="3" t="s">
        <v>64</v>
      </c>
      <c r="B34" s="3"/>
      <c r="C34" s="32"/>
      <c r="D34" s="3"/>
      <c r="E34" s="3"/>
      <c r="F34" s="16"/>
      <c r="G34" s="3"/>
      <c r="H34" s="47">
        <f>H31*10%</f>
        <v>4330</v>
      </c>
      <c r="I34" s="3"/>
      <c r="J34" s="3"/>
      <c r="K34" s="3"/>
      <c r="L34" s="13"/>
      <c r="M34" s="3"/>
    </row>
    <row r="35" spans="1:13">
      <c r="A35" s="3" t="s">
        <v>66</v>
      </c>
      <c r="B35" s="3"/>
      <c r="C35" s="32"/>
      <c r="D35" s="3"/>
      <c r="E35" s="3"/>
      <c r="F35" s="16"/>
      <c r="G35" s="3"/>
      <c r="H35" s="47">
        <f>H29+H24+H23</f>
        <v>7500</v>
      </c>
      <c r="I35" s="3"/>
      <c r="J35" s="3"/>
      <c r="K35" s="3"/>
      <c r="L35" s="13"/>
      <c r="M35" s="3"/>
    </row>
    <row r="36" spans="1:13">
      <c r="A36" s="3" t="s">
        <v>112</v>
      </c>
      <c r="B36" s="3"/>
      <c r="C36" s="32"/>
      <c r="D36" s="3"/>
      <c r="E36" s="3"/>
      <c r="F36" s="16"/>
      <c r="G36" s="3"/>
      <c r="H36" s="47">
        <f>1000</f>
        <v>1000</v>
      </c>
      <c r="I36" s="3"/>
      <c r="J36" s="3"/>
      <c r="K36" s="3"/>
      <c r="L36" s="13"/>
      <c r="M36" s="3"/>
    </row>
    <row r="37" spans="1:13">
      <c r="A37" s="3" t="s">
        <v>113</v>
      </c>
      <c r="B37" s="3"/>
      <c r="C37" s="32"/>
      <c r="D37" s="3"/>
      <c r="E37" s="3"/>
      <c r="F37" s="16"/>
      <c r="G37" s="3"/>
      <c r="H37" s="47">
        <v>3980</v>
      </c>
      <c r="I37" s="3"/>
      <c r="J37" s="3"/>
      <c r="K37" s="3"/>
      <c r="L37" s="13"/>
      <c r="M37" s="3"/>
    </row>
    <row r="38" spans="1:13">
      <c r="A38" s="13" t="s">
        <v>67</v>
      </c>
      <c r="B38" s="13"/>
      <c r="C38" s="13"/>
      <c r="D38" s="13"/>
      <c r="E38" s="13"/>
      <c r="F38" s="48"/>
      <c r="G38" s="13"/>
      <c r="H38" s="49">
        <f>SUM(H34:H37)</f>
        <v>16810</v>
      </c>
      <c r="I38" s="13"/>
      <c r="J38" s="3"/>
      <c r="K38" s="13"/>
      <c r="L38" s="13"/>
      <c r="M38" s="13"/>
    </row>
    <row r="39" spans="1:13">
      <c r="A39" s="3" t="s">
        <v>68</v>
      </c>
      <c r="B39" s="3"/>
      <c r="C39" s="3"/>
      <c r="D39" s="3"/>
      <c r="E39" s="3"/>
      <c r="F39" s="16"/>
      <c r="G39" s="3"/>
      <c r="H39" s="50">
        <f>FEB!K39</f>
        <v>5510</v>
      </c>
      <c r="I39" s="51" t="s">
        <v>69</v>
      </c>
      <c r="J39" s="51" t="s">
        <v>70</v>
      </c>
      <c r="K39" s="51" t="s">
        <v>71</v>
      </c>
      <c r="L39" s="52"/>
      <c r="M39" s="52"/>
    </row>
    <row r="40" ht="15.75" spans="1:13">
      <c r="A40" s="2" t="s">
        <v>72</v>
      </c>
      <c r="B40" s="2"/>
      <c r="C40" s="2"/>
      <c r="D40" s="2"/>
      <c r="E40" s="2"/>
      <c r="F40" s="45"/>
      <c r="G40" s="13"/>
      <c r="H40" s="53">
        <f>H31-H38+H39</f>
        <v>32000</v>
      </c>
      <c r="I40" s="48">
        <v>20000</v>
      </c>
      <c r="J40" s="48">
        <v>12000</v>
      </c>
      <c r="K40" s="54">
        <f>H40-I40-J40</f>
        <v>0</v>
      </c>
      <c r="L40" s="52"/>
      <c r="M40" s="52"/>
    </row>
    <row r="41" ht="15.75" spans="1:13">
      <c r="A41" s="3" t="s">
        <v>73</v>
      </c>
      <c r="B41" s="3"/>
      <c r="C41" s="3"/>
      <c r="D41" s="3"/>
      <c r="E41" s="3"/>
      <c r="F41" s="16"/>
      <c r="G41" s="3"/>
      <c r="H41" s="3"/>
      <c r="I41" s="3"/>
      <c r="J41" s="3"/>
      <c r="K41" s="55">
        <v>46112</v>
      </c>
      <c r="L41" s="56"/>
      <c r="M41" s="55"/>
    </row>
    <row r="42" spans="1:13">
      <c r="H42" s="57"/>
    </row>
    <row r="45" spans="1:13">
      <c r="H45">
        <f>H31/G31*100</f>
        <v>78.8706739526412</v>
      </c>
    </row>
    <row r="50" spans="8:17">
      <c r="Q50" t="s">
        <v>74</v>
      </c>
    </row>
    <row r="51" spans="8:17">
      <c r="H51" t="s">
        <v>75</v>
      </c>
      <c r="I51" s="57" t="e">
        <f>H13+#REF!+H14+H18+H22+H25+H26+H27+H29+#REF!+4700</f>
        <v>#REF!</v>
      </c>
    </row>
    <row r="52" spans="8:17">
      <c r="H52" t="s">
        <v>76</v>
      </c>
      <c r="I52" s="57">
        <f>H15+300</f>
        <v>300</v>
      </c>
    </row>
  </sheetData>
  <mergeCells count="1">
    <mergeCell ref="A3:K3"/>
  </mergeCells>
  <pageMargins left="0.25" right="0.25" top="0.75" bottom="0.75" header="0.3" footer="0.3"/>
  <pageSetup paperSize="1" scale="64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51"/>
  <sheetViews>
    <sheetView zoomScale="95" zoomScaleNormal="95" topLeftCell="A7" workbookViewId="0">
      <selection activeCell="J39" sqref="J39"/>
    </sheetView>
  </sheetViews>
  <sheetFormatPr defaultColWidth="9" defaultRowHeight="15"/>
  <cols>
    <col min="2" max="2" width="19.1047619047619" customWidth="1"/>
    <col min="3" max="3" width="20.4380952380952" customWidth="1"/>
    <col min="4" max="4" width="9.66666666666667" customWidth="1"/>
    <col min="5" max="5" width="12.2190476190476" customWidth="1"/>
    <col min="6" max="6" width="7.43809523809524" customWidth="1"/>
    <col min="7" max="7" width="9.55238095238095" customWidth="1"/>
    <col min="8" max="8" width="10.2190476190476" customWidth="1"/>
    <col min="9" max="9" width="27.3333333333333" customWidth="1"/>
    <col min="10" max="10" width="9.55238095238095" customWidth="1"/>
    <col min="11" max="11" width="9.43809523809524" customWidth="1"/>
    <col min="12" max="12" width="10.1047619047619" customWidth="1"/>
    <col min="13" max="13" width="16.6666666666667" customWidth="1"/>
  </cols>
  <sheetData>
    <row r="1" spans="1:13">
      <c r="A1" s="2"/>
      <c r="B1" s="3"/>
      <c r="C1" s="4" t="s">
        <v>0</v>
      </c>
      <c r="D1" s="5"/>
      <c r="E1" s="3"/>
      <c r="F1" s="6"/>
      <c r="G1" s="7"/>
      <c r="H1" s="7"/>
      <c r="I1" s="8"/>
      <c r="J1" s="8"/>
      <c r="K1" s="9"/>
      <c r="L1" s="9"/>
      <c r="M1" s="9"/>
    </row>
    <row r="2" spans="1:13">
      <c r="A2" s="2" t="s">
        <v>1</v>
      </c>
      <c r="B2" s="2"/>
      <c r="C2" s="2"/>
      <c r="D2" s="2"/>
      <c r="E2" s="7"/>
      <c r="F2" s="6"/>
      <c r="G2" s="7"/>
      <c r="H2" s="7"/>
      <c r="I2" s="8"/>
      <c r="J2" s="8"/>
      <c r="K2" s="9"/>
      <c r="L2" s="9"/>
      <c r="M2" s="9"/>
    </row>
    <row r="3" spans="1:13">
      <c r="A3" s="10">
        <v>46142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2"/>
      <c r="M3" s="2"/>
    </row>
    <row r="4" spans="1:13">
      <c r="A4" s="2"/>
      <c r="B4" s="2"/>
      <c r="C4" s="2"/>
      <c r="D4" s="7"/>
      <c r="E4" s="7"/>
      <c r="F4" s="6"/>
      <c r="G4" s="7"/>
      <c r="H4" s="7"/>
      <c r="I4" s="8" t="s">
        <v>2</v>
      </c>
      <c r="J4" s="8"/>
      <c r="K4" s="12"/>
      <c r="L4" s="12"/>
      <c r="M4" s="12"/>
    </row>
    <row r="5" spans="1:13">
      <c r="A5" s="13"/>
      <c r="B5" s="13"/>
      <c r="C5" s="13"/>
      <c r="D5" s="12"/>
      <c r="E5" s="12"/>
      <c r="F5" s="14"/>
      <c r="G5" s="12"/>
      <c r="H5" s="12"/>
      <c r="I5" s="15" t="s">
        <v>3</v>
      </c>
      <c r="J5" s="15"/>
      <c r="K5" s="12"/>
      <c r="L5" s="12"/>
      <c r="M5" s="12"/>
    </row>
    <row r="6" spans="1:13">
      <c r="A6" s="13" t="s">
        <v>4</v>
      </c>
      <c r="B6" s="13"/>
      <c r="C6" s="13"/>
      <c r="D6" s="3"/>
      <c r="E6" s="3"/>
      <c r="F6" s="16"/>
      <c r="G6" s="3"/>
      <c r="H6" s="12" t="s">
        <v>5</v>
      </c>
      <c r="I6" s="15"/>
      <c r="J6" s="15"/>
      <c r="K6" s="12"/>
      <c r="L6" s="12"/>
      <c r="M6" s="12"/>
    </row>
    <row r="7" spans="1:13">
      <c r="A7" s="13"/>
      <c r="B7" s="13"/>
      <c r="C7" s="13"/>
      <c r="D7" s="3"/>
      <c r="E7" s="3"/>
      <c r="F7" s="16"/>
      <c r="G7" s="3"/>
      <c r="H7" s="12" t="s">
        <v>6</v>
      </c>
      <c r="I7" s="15"/>
      <c r="J7" s="15"/>
      <c r="K7" s="12"/>
      <c r="L7" s="12"/>
      <c r="M7" s="12"/>
    </row>
    <row r="8" spans="1:13">
      <c r="A8" s="13" t="s">
        <v>7</v>
      </c>
      <c r="B8" s="13"/>
      <c r="C8" s="13"/>
      <c r="D8" s="17"/>
      <c r="E8" s="12"/>
      <c r="F8" s="14"/>
      <c r="G8" s="12"/>
      <c r="H8" s="12"/>
      <c r="I8" s="15"/>
      <c r="J8" s="15"/>
      <c r="K8" s="12"/>
      <c r="L8" s="12"/>
      <c r="M8" s="12"/>
    </row>
    <row r="9" ht="22.5" spans="1:13">
      <c r="A9" s="2" t="s">
        <v>8</v>
      </c>
      <c r="B9" s="2" t="s">
        <v>9</v>
      </c>
      <c r="C9" s="2" t="s">
        <v>10</v>
      </c>
      <c r="D9" s="18" t="s">
        <v>11</v>
      </c>
      <c r="E9" s="19" t="s">
        <v>12</v>
      </c>
      <c r="F9" s="6" t="s">
        <v>13</v>
      </c>
      <c r="G9" s="20" t="s">
        <v>14</v>
      </c>
      <c r="H9" s="7" t="s">
        <v>15</v>
      </c>
      <c r="I9" s="2" t="s">
        <v>16</v>
      </c>
      <c r="J9" s="2" t="s">
        <v>17</v>
      </c>
      <c r="K9" s="7" t="s">
        <v>18</v>
      </c>
      <c r="L9" s="7" t="s">
        <v>19</v>
      </c>
      <c r="M9" s="7" t="s">
        <v>20</v>
      </c>
    </row>
    <row r="10" spans="1:13">
      <c r="A10" s="21"/>
      <c r="B10" s="2" t="s">
        <v>21</v>
      </c>
      <c r="C10" s="2"/>
      <c r="D10" s="18"/>
      <c r="E10" s="19"/>
      <c r="F10" s="22">
        <f>MAR!K10</f>
        <v>0</v>
      </c>
      <c r="G10" s="23">
        <f>D10+E10+F10</f>
        <v>0</v>
      </c>
      <c r="H10" s="7"/>
      <c r="I10" s="2"/>
      <c r="J10" s="71" t="s">
        <v>114</v>
      </c>
      <c r="K10" s="7">
        <f>G10-H10</f>
        <v>0</v>
      </c>
      <c r="L10" s="7"/>
      <c r="M10" s="7"/>
    </row>
    <row r="11" spans="1:13">
      <c r="A11" s="21"/>
      <c r="B11" s="2" t="s">
        <v>21</v>
      </c>
      <c r="C11" s="2"/>
      <c r="D11" s="18"/>
      <c r="E11" s="19"/>
      <c r="F11" s="22">
        <f>MAR!K11</f>
        <v>0</v>
      </c>
      <c r="G11" s="23">
        <f t="shared" ref="G11:G31" si="0">D11+E11+F11</f>
        <v>0</v>
      </c>
      <c r="H11" s="7"/>
      <c r="I11" s="2"/>
      <c r="J11" s="71" t="s">
        <v>114</v>
      </c>
      <c r="K11" s="7">
        <f t="shared" ref="K11:K12" si="1">G11-H11</f>
        <v>0</v>
      </c>
      <c r="L11" s="7"/>
      <c r="M11" s="7"/>
    </row>
    <row r="12" s="1" customFormat="1" spans="1:13">
      <c r="A12" s="3">
        <v>1</v>
      </c>
      <c r="B12" s="3" t="s">
        <v>93</v>
      </c>
      <c r="C12" s="3"/>
      <c r="D12" s="27"/>
      <c r="E12" s="28">
        <v>2500</v>
      </c>
      <c r="F12" s="22">
        <f>MAR!K12</f>
        <v>900</v>
      </c>
      <c r="G12" s="23">
        <f t="shared" si="0"/>
        <v>3400</v>
      </c>
      <c r="H12" s="72">
        <f>2500</f>
        <v>2500</v>
      </c>
      <c r="I12" s="73" t="s">
        <v>115</v>
      </c>
      <c r="J12" s="71" t="s">
        <v>114</v>
      </c>
      <c r="K12" s="31">
        <f t="shared" si="1"/>
        <v>900</v>
      </c>
      <c r="L12" s="31"/>
      <c r="M12" s="31" t="s">
        <v>116</v>
      </c>
    </row>
    <row r="13" spans="1:13">
      <c r="A13" s="21">
        <v>2</v>
      </c>
      <c r="B13" s="3" t="s">
        <v>25</v>
      </c>
      <c r="C13" s="82" t="s">
        <v>26</v>
      </c>
      <c r="D13" s="28"/>
      <c r="E13" s="28">
        <v>2500</v>
      </c>
      <c r="F13" s="22">
        <f>MAR!K13</f>
        <v>700</v>
      </c>
      <c r="G13" s="23">
        <f t="shared" si="0"/>
        <v>3200</v>
      </c>
      <c r="H13" s="72"/>
      <c r="I13" s="74"/>
      <c r="J13" s="71" t="s">
        <v>114</v>
      </c>
      <c r="K13" s="31">
        <f t="shared" ref="K13:K31" si="2">G13-H13</f>
        <v>3200</v>
      </c>
      <c r="L13" s="34" t="s">
        <v>117</v>
      </c>
      <c r="M13" s="35"/>
    </row>
    <row r="14" spans="1:13">
      <c r="A14" s="21">
        <v>3</v>
      </c>
      <c r="B14" s="3" t="s">
        <v>27</v>
      </c>
      <c r="C14" s="82" t="s">
        <v>28</v>
      </c>
      <c r="D14" s="28"/>
      <c r="E14" s="28">
        <v>2500</v>
      </c>
      <c r="F14" s="22">
        <f>MAR!K14</f>
        <v>2700</v>
      </c>
      <c r="G14" s="23">
        <f t="shared" si="0"/>
        <v>5200</v>
      </c>
      <c r="H14" s="75">
        <f>1800</f>
        <v>1800</v>
      </c>
      <c r="I14" s="73" t="s">
        <v>118</v>
      </c>
      <c r="J14" s="71" t="s">
        <v>114</v>
      </c>
      <c r="K14" s="31">
        <f t="shared" si="2"/>
        <v>3400</v>
      </c>
      <c r="L14" s="34"/>
      <c r="M14" s="35" t="s">
        <v>116</v>
      </c>
    </row>
    <row r="15" spans="1:13">
      <c r="A15" s="21">
        <v>4</v>
      </c>
      <c r="B15" s="3" t="s">
        <v>119</v>
      </c>
      <c r="C15" s="82" t="s">
        <v>120</v>
      </c>
      <c r="D15" s="28"/>
      <c r="E15" s="28">
        <v>2500</v>
      </c>
      <c r="F15" s="22"/>
      <c r="G15" s="23">
        <f t="shared" si="0"/>
        <v>2500</v>
      </c>
      <c r="H15" s="75">
        <f>1500</f>
        <v>1500</v>
      </c>
      <c r="I15" s="73" t="s">
        <v>121</v>
      </c>
      <c r="J15" s="71" t="s">
        <v>114</v>
      </c>
      <c r="K15" s="31">
        <f t="shared" si="2"/>
        <v>1000</v>
      </c>
      <c r="L15" s="34"/>
      <c r="M15" s="35"/>
    </row>
    <row r="16" spans="1:13">
      <c r="A16" s="21">
        <v>5</v>
      </c>
      <c r="B16" s="3" t="s">
        <v>31</v>
      </c>
      <c r="C16" s="32"/>
      <c r="D16" s="28"/>
      <c r="E16" s="28">
        <v>2500</v>
      </c>
      <c r="F16" s="22">
        <f>MAR!K16</f>
        <v>0</v>
      </c>
      <c r="G16" s="23">
        <f t="shared" si="0"/>
        <v>2500</v>
      </c>
      <c r="H16" s="75">
        <f>2500</f>
        <v>2500</v>
      </c>
      <c r="I16" s="73" t="s">
        <v>122</v>
      </c>
      <c r="J16" s="71" t="s">
        <v>114</v>
      </c>
      <c r="K16" s="31">
        <f t="shared" si="2"/>
        <v>0</v>
      </c>
      <c r="L16" s="34"/>
      <c r="M16" s="35" t="s">
        <v>116</v>
      </c>
    </row>
    <row r="17" spans="1:15">
      <c r="A17" s="21">
        <v>6</v>
      </c>
      <c r="B17" s="3" t="s">
        <v>123</v>
      </c>
      <c r="C17" s="32"/>
      <c r="D17" s="28"/>
      <c r="E17" s="28">
        <v>2500</v>
      </c>
      <c r="F17" s="22">
        <f>MAR!K17</f>
        <v>0</v>
      </c>
      <c r="G17" s="23">
        <f t="shared" si="0"/>
        <v>2500</v>
      </c>
      <c r="H17" s="75">
        <f>2500</f>
        <v>2500</v>
      </c>
      <c r="I17" s="73" t="s">
        <v>124</v>
      </c>
      <c r="J17" s="71" t="s">
        <v>114</v>
      </c>
      <c r="K17" s="31">
        <f t="shared" si="2"/>
        <v>0</v>
      </c>
      <c r="L17" s="34"/>
      <c r="M17" s="35" t="s">
        <v>116</v>
      </c>
    </row>
    <row r="18" spans="1:15">
      <c r="A18" s="21">
        <v>7</v>
      </c>
      <c r="B18" s="3" t="s">
        <v>125</v>
      </c>
      <c r="C18" s="82" t="s">
        <v>35</v>
      </c>
      <c r="D18" s="28"/>
      <c r="E18" s="28">
        <v>2500</v>
      </c>
      <c r="F18" s="22">
        <f>MAR!K18</f>
        <v>1700</v>
      </c>
      <c r="G18" s="23">
        <f t="shared" si="0"/>
        <v>4200</v>
      </c>
      <c r="H18" s="75">
        <f>1800+500+1500</f>
        <v>3800</v>
      </c>
      <c r="I18" s="73" t="s">
        <v>126</v>
      </c>
      <c r="J18" s="71" t="s">
        <v>114</v>
      </c>
      <c r="K18" s="31">
        <f t="shared" si="2"/>
        <v>400</v>
      </c>
      <c r="L18" s="34"/>
      <c r="M18" s="35" t="s">
        <v>116</v>
      </c>
      <c r="O18" t="s">
        <v>37</v>
      </c>
    </row>
    <row r="19" spans="1:15">
      <c r="A19" s="21">
        <v>8</v>
      </c>
      <c r="B19" s="3" t="s">
        <v>38</v>
      </c>
      <c r="C19" s="32"/>
      <c r="D19" s="28"/>
      <c r="E19" s="28">
        <v>2500</v>
      </c>
      <c r="F19" s="22">
        <f>MAR!K19</f>
        <v>0</v>
      </c>
      <c r="G19" s="23">
        <f t="shared" si="0"/>
        <v>2500</v>
      </c>
      <c r="H19" s="72">
        <f>1250+500</f>
        <v>1750</v>
      </c>
      <c r="I19" s="73" t="s">
        <v>127</v>
      </c>
      <c r="J19" s="71" t="s">
        <v>114</v>
      </c>
      <c r="K19" s="31">
        <f t="shared" si="2"/>
        <v>750</v>
      </c>
      <c r="L19" s="34"/>
      <c r="M19" s="35"/>
    </row>
    <row r="20" spans="1:15">
      <c r="A20" s="21">
        <v>9</v>
      </c>
      <c r="B20" s="3" t="s">
        <v>39</v>
      </c>
      <c r="C20" s="32"/>
      <c r="D20" s="28"/>
      <c r="E20" s="28">
        <v>2500</v>
      </c>
      <c r="F20" s="22">
        <f>MAR!K20</f>
        <v>500</v>
      </c>
      <c r="G20" s="23">
        <f t="shared" si="0"/>
        <v>3000</v>
      </c>
      <c r="H20" s="72">
        <f>3000</f>
        <v>3000</v>
      </c>
      <c r="I20" s="76" t="s">
        <v>128</v>
      </c>
      <c r="J20" s="71" t="s">
        <v>114</v>
      </c>
      <c r="K20" s="31">
        <f t="shared" si="2"/>
        <v>0</v>
      </c>
      <c r="L20" s="34"/>
      <c r="M20" s="35"/>
    </row>
    <row r="21" spans="1:15">
      <c r="A21" s="21">
        <v>10</v>
      </c>
      <c r="B21" s="3" t="s">
        <v>85</v>
      </c>
      <c r="C21" s="32"/>
      <c r="D21" s="28"/>
      <c r="E21" s="28">
        <v>2500</v>
      </c>
      <c r="F21" s="22">
        <f>MAR!K21</f>
        <v>2000</v>
      </c>
      <c r="G21" s="23">
        <f t="shared" si="0"/>
        <v>4500</v>
      </c>
      <c r="H21" s="72">
        <f>500+3200</f>
        <v>3700</v>
      </c>
      <c r="I21" s="77" t="s">
        <v>129</v>
      </c>
      <c r="J21" s="71" t="s">
        <v>114</v>
      </c>
      <c r="K21" s="31">
        <f t="shared" si="2"/>
        <v>800</v>
      </c>
      <c r="L21" s="34"/>
      <c r="M21" s="35" t="s">
        <v>116</v>
      </c>
    </row>
    <row r="22" spans="1:15">
      <c r="A22" s="21">
        <v>11</v>
      </c>
      <c r="B22" s="3" t="s">
        <v>40</v>
      </c>
      <c r="C22" s="82" t="s">
        <v>41</v>
      </c>
      <c r="D22" s="28"/>
      <c r="E22" s="28">
        <v>2200</v>
      </c>
      <c r="F22" s="22">
        <f>MAR!K22</f>
        <v>0</v>
      </c>
      <c r="G22" s="23">
        <f t="shared" si="0"/>
        <v>2200</v>
      </c>
      <c r="H22" s="75">
        <f>2200</f>
        <v>2200</v>
      </c>
      <c r="I22" s="73" t="s">
        <v>130</v>
      </c>
      <c r="J22" s="71" t="s">
        <v>114</v>
      </c>
      <c r="K22" s="31">
        <f t="shared" si="2"/>
        <v>0</v>
      </c>
      <c r="L22" s="34"/>
      <c r="M22" s="35" t="s">
        <v>116</v>
      </c>
    </row>
    <row r="23" spans="1:15">
      <c r="A23" s="21">
        <v>12</v>
      </c>
      <c r="B23" s="3" t="s">
        <v>39</v>
      </c>
      <c r="C23" s="32"/>
      <c r="D23" s="28"/>
      <c r="E23" s="28">
        <v>2500</v>
      </c>
      <c r="F23" s="22">
        <f>MAR!K23</f>
        <v>0</v>
      </c>
      <c r="G23" s="23">
        <f t="shared" si="0"/>
        <v>2500</v>
      </c>
      <c r="H23" s="72">
        <f>2000</f>
        <v>2000</v>
      </c>
      <c r="I23" s="85" t="s">
        <v>131</v>
      </c>
      <c r="J23" s="71" t="s">
        <v>114</v>
      </c>
      <c r="K23" s="31">
        <f t="shared" si="2"/>
        <v>500</v>
      </c>
      <c r="L23" s="34"/>
      <c r="M23" s="35"/>
    </row>
    <row r="24" spans="1:15">
      <c r="A24" s="21">
        <v>13</v>
      </c>
      <c r="B24" s="3" t="s">
        <v>46</v>
      </c>
      <c r="C24" s="82" t="s">
        <v>47</v>
      </c>
      <c r="D24" s="28"/>
      <c r="E24" s="28">
        <v>2500</v>
      </c>
      <c r="F24" s="22">
        <f>MAR!K24</f>
        <v>0</v>
      </c>
      <c r="G24" s="23">
        <f t="shared" si="0"/>
        <v>2500</v>
      </c>
      <c r="H24" s="72"/>
      <c r="I24" s="74"/>
      <c r="J24" s="71" t="s">
        <v>114</v>
      </c>
      <c r="K24" s="31">
        <f t="shared" si="2"/>
        <v>2500</v>
      </c>
      <c r="L24" s="34" t="s">
        <v>117</v>
      </c>
      <c r="M24" s="35"/>
    </row>
    <row r="25" spans="1:15">
      <c r="A25" s="21">
        <v>14</v>
      </c>
      <c r="B25" s="3" t="s">
        <v>132</v>
      </c>
      <c r="C25" s="32"/>
      <c r="D25" s="28"/>
      <c r="E25" s="28">
        <v>2500</v>
      </c>
      <c r="F25" s="22">
        <f>MAR!K25</f>
        <v>0</v>
      </c>
      <c r="G25" s="23">
        <f t="shared" si="0"/>
        <v>2500</v>
      </c>
      <c r="H25" s="72">
        <f>2000</f>
        <v>2000</v>
      </c>
      <c r="I25" s="85" t="s">
        <v>133</v>
      </c>
      <c r="J25" s="71" t="s">
        <v>114</v>
      </c>
      <c r="K25" s="31">
        <f t="shared" si="2"/>
        <v>500</v>
      </c>
      <c r="L25" s="34"/>
      <c r="M25" s="35"/>
    </row>
    <row r="26" spans="1:15">
      <c r="A26" s="21">
        <v>15</v>
      </c>
      <c r="B26" s="3" t="s">
        <v>49</v>
      </c>
      <c r="C26" s="82" t="s">
        <v>44</v>
      </c>
      <c r="D26" s="28"/>
      <c r="E26" s="28">
        <v>2500</v>
      </c>
      <c r="F26" s="22">
        <f>MAR!K26</f>
        <v>600</v>
      </c>
      <c r="G26" s="23">
        <f t="shared" si="0"/>
        <v>3100</v>
      </c>
      <c r="H26" s="72">
        <f>1350</f>
        <v>1350</v>
      </c>
      <c r="I26" s="78" t="s">
        <v>134</v>
      </c>
      <c r="J26" s="71" t="s">
        <v>114</v>
      </c>
      <c r="K26" s="31">
        <f t="shared" si="2"/>
        <v>1750</v>
      </c>
      <c r="L26" s="34"/>
      <c r="M26" s="35" t="s">
        <v>116</v>
      </c>
    </row>
    <row r="27" spans="1:15">
      <c r="A27" s="84" t="s">
        <v>51</v>
      </c>
      <c r="B27" s="3" t="s">
        <v>52</v>
      </c>
      <c r="C27" s="82" t="s">
        <v>53</v>
      </c>
      <c r="D27" s="28"/>
      <c r="E27" s="28">
        <v>3000</v>
      </c>
      <c r="F27" s="22">
        <f>MAR!K27</f>
        <v>0</v>
      </c>
      <c r="G27" s="23">
        <f t="shared" si="0"/>
        <v>3000</v>
      </c>
      <c r="H27" s="75">
        <f>3000</f>
        <v>3000</v>
      </c>
      <c r="I27" s="73" t="s">
        <v>135</v>
      </c>
      <c r="J27" s="71" t="s">
        <v>114</v>
      </c>
      <c r="K27" s="31">
        <f t="shared" si="2"/>
        <v>0</v>
      </c>
      <c r="L27" s="34"/>
      <c r="M27" s="35" t="s">
        <v>55</v>
      </c>
    </row>
    <row r="28" spans="1:15">
      <c r="A28" s="21">
        <v>17</v>
      </c>
      <c r="B28" s="3" t="s">
        <v>21</v>
      </c>
      <c r="C28" s="32"/>
      <c r="D28" s="28"/>
      <c r="E28" s="28"/>
      <c r="F28" s="22">
        <f>MAR!K28</f>
        <v>0</v>
      </c>
      <c r="G28" s="23">
        <f t="shared" si="0"/>
        <v>0</v>
      </c>
      <c r="H28" s="72"/>
      <c r="I28" s="74"/>
      <c r="J28" s="71" t="s">
        <v>114</v>
      </c>
      <c r="K28" s="31">
        <f t="shared" si="2"/>
        <v>0</v>
      </c>
      <c r="L28" s="34"/>
      <c r="M28" s="35"/>
    </row>
    <row r="29" spans="1:15">
      <c r="A29" s="21">
        <v>18</v>
      </c>
      <c r="B29" s="3" t="s">
        <v>39</v>
      </c>
      <c r="C29" s="32"/>
      <c r="D29" s="28"/>
      <c r="E29" s="28">
        <v>2500</v>
      </c>
      <c r="F29" s="22"/>
      <c r="G29" s="23">
        <f t="shared" si="0"/>
        <v>2500</v>
      </c>
      <c r="H29" s="72">
        <f>2500</f>
        <v>2500</v>
      </c>
      <c r="I29" s="74" t="s">
        <v>24</v>
      </c>
      <c r="J29" s="71"/>
      <c r="K29" s="31">
        <f t="shared" si="2"/>
        <v>0</v>
      </c>
      <c r="L29" s="34"/>
      <c r="M29" s="35"/>
    </row>
    <row r="30" spans="1:15">
      <c r="A30" s="21">
        <v>19</v>
      </c>
      <c r="B30" s="3" t="s">
        <v>56</v>
      </c>
      <c r="C30" s="82" t="s">
        <v>57</v>
      </c>
      <c r="D30" s="28"/>
      <c r="E30" s="28">
        <v>2500</v>
      </c>
      <c r="F30" s="22">
        <f>MAR!K29</f>
        <v>0</v>
      </c>
      <c r="G30" s="23">
        <f t="shared" si="0"/>
        <v>2500</v>
      </c>
      <c r="H30" s="75"/>
      <c r="I30" s="74"/>
      <c r="J30" s="71" t="s">
        <v>114</v>
      </c>
      <c r="K30" s="31">
        <f t="shared" si="2"/>
        <v>2500</v>
      </c>
      <c r="L30" s="34" t="s">
        <v>117</v>
      </c>
      <c r="M30" s="35"/>
    </row>
    <row r="31" spans="1:15">
      <c r="A31" s="21">
        <v>21</v>
      </c>
      <c r="B31" s="39" t="s">
        <v>59</v>
      </c>
      <c r="C31" s="82" t="s">
        <v>60</v>
      </c>
      <c r="D31" s="28"/>
      <c r="E31" s="28">
        <v>2500</v>
      </c>
      <c r="F31" s="22">
        <f>MAR!K30</f>
        <v>0</v>
      </c>
      <c r="G31" s="23">
        <f t="shared" si="0"/>
        <v>2500</v>
      </c>
      <c r="H31" s="72">
        <f>2500</f>
        <v>2500</v>
      </c>
      <c r="I31" s="78" t="s">
        <v>136</v>
      </c>
      <c r="J31" s="71" t="s">
        <v>114</v>
      </c>
      <c r="K31" s="31">
        <f t="shared" si="2"/>
        <v>0</v>
      </c>
      <c r="L31" s="34"/>
      <c r="M31" s="35"/>
    </row>
    <row r="32" spans="1:15">
      <c r="A32" s="2"/>
      <c r="B32" s="39"/>
      <c r="C32" s="32"/>
      <c r="D32" s="40">
        <f>SUM(D13:D30)</f>
        <v>0</v>
      </c>
      <c r="E32" s="40">
        <f>SUM(E10:E31)</f>
        <v>47700</v>
      </c>
      <c r="F32" s="40">
        <f>SUM(F10:F31)</f>
        <v>9100</v>
      </c>
      <c r="G32" s="40">
        <f>SUM(G10:G31)</f>
        <v>56800</v>
      </c>
      <c r="H32" s="40">
        <f>SUM(H10:H31)</f>
        <v>38600</v>
      </c>
      <c r="I32" s="40"/>
      <c r="J32" s="40">
        <f>SUM(J13:J30)</f>
        <v>0</v>
      </c>
      <c r="K32" s="40">
        <f>SUM(K10:K31)</f>
        <v>18200</v>
      </c>
      <c r="L32" s="41"/>
      <c r="M32" s="41"/>
    </row>
    <row r="33" spans="1:13">
      <c r="A33" s="42" t="s">
        <v>62</v>
      </c>
      <c r="B33" s="3"/>
      <c r="C33" s="32"/>
      <c r="D33" s="43"/>
      <c r="E33" s="44"/>
      <c r="F33" s="45"/>
      <c r="G33" s="44"/>
      <c r="H33" s="44"/>
      <c r="I33" s="2"/>
      <c r="J33" s="2"/>
      <c r="K33" s="44"/>
      <c r="L33" s="44"/>
      <c r="M33" s="44"/>
    </row>
    <row r="34" spans="1:13">
      <c r="A34" s="46" t="s">
        <v>63</v>
      </c>
      <c r="B34" s="3"/>
      <c r="C34" s="32"/>
      <c r="D34" s="43"/>
      <c r="E34" s="44"/>
      <c r="F34" s="45"/>
      <c r="G34" s="44"/>
      <c r="H34" s="44"/>
      <c r="I34" s="2"/>
      <c r="J34" s="2"/>
      <c r="K34" s="44"/>
      <c r="L34" s="44"/>
      <c r="M34" s="44"/>
    </row>
    <row r="35" spans="1:13">
      <c r="A35" s="3" t="s">
        <v>64</v>
      </c>
      <c r="B35" s="3"/>
      <c r="C35" s="32"/>
      <c r="D35" s="3"/>
      <c r="E35" s="3"/>
      <c r="F35" s="16"/>
      <c r="G35" s="3"/>
      <c r="H35" s="47">
        <f>H32*10%</f>
        <v>3860</v>
      </c>
      <c r="I35" s="3"/>
      <c r="J35" s="3"/>
      <c r="K35" s="3"/>
      <c r="L35" s="13"/>
      <c r="M35" s="3"/>
    </row>
    <row r="36" spans="1:13">
      <c r="A36" s="3" t="s">
        <v>66</v>
      </c>
      <c r="B36" s="3"/>
      <c r="C36" s="32"/>
      <c r="D36" s="3"/>
      <c r="E36" s="3"/>
      <c r="F36" s="16"/>
      <c r="G36" s="3"/>
      <c r="H36" s="47">
        <f>H29</f>
        <v>2500</v>
      </c>
      <c r="I36" s="3"/>
      <c r="J36" s="3"/>
      <c r="K36" s="3"/>
      <c r="L36" s="13"/>
      <c r="M36" s="3"/>
    </row>
    <row r="37" spans="1:13">
      <c r="A37" s="13" t="s">
        <v>67</v>
      </c>
      <c r="B37" s="13"/>
      <c r="C37" s="13"/>
      <c r="D37" s="13"/>
      <c r="E37" s="13"/>
      <c r="F37" s="48"/>
      <c r="G37" s="13"/>
      <c r="H37" s="49">
        <f>SUM(H35:H36)</f>
        <v>6360</v>
      </c>
      <c r="I37" s="13"/>
      <c r="J37" s="3"/>
      <c r="K37" s="13"/>
      <c r="L37" s="13"/>
      <c r="M37" s="13"/>
    </row>
    <row r="38" spans="1:13">
      <c r="A38" s="3" t="s">
        <v>68</v>
      </c>
      <c r="B38" s="3"/>
      <c r="C38" s="3"/>
      <c r="D38" s="3"/>
      <c r="E38" s="3"/>
      <c r="F38" s="16"/>
      <c r="G38" s="3"/>
      <c r="H38" s="50">
        <f>MAR!K40</f>
        <v>0</v>
      </c>
      <c r="I38" s="51" t="s">
        <v>69</v>
      </c>
      <c r="J38" s="51" t="s">
        <v>70</v>
      </c>
      <c r="K38" s="51" t="s">
        <v>71</v>
      </c>
      <c r="L38" s="52"/>
      <c r="M38" s="52"/>
    </row>
    <row r="39" ht="15.75" spans="1:13">
      <c r="A39" s="2" t="s">
        <v>72</v>
      </c>
      <c r="B39" s="2"/>
      <c r="C39" s="2"/>
      <c r="D39" s="2"/>
      <c r="E39" s="2"/>
      <c r="F39" s="45"/>
      <c r="G39" s="13"/>
      <c r="H39" s="53">
        <f>H32-H37+H38</f>
        <v>32240</v>
      </c>
      <c r="I39" s="48">
        <v>20000</v>
      </c>
      <c r="J39" s="48">
        <v>12240</v>
      </c>
      <c r="K39" s="54">
        <f>H39-I39-J39</f>
        <v>0</v>
      </c>
      <c r="L39" s="52"/>
      <c r="M39" s="52"/>
    </row>
    <row r="40" ht="15.75" spans="1:13">
      <c r="A40" s="3" t="s">
        <v>73</v>
      </c>
      <c r="B40" s="3"/>
      <c r="C40" s="3"/>
      <c r="D40" s="3"/>
      <c r="E40" s="3"/>
      <c r="F40" s="16"/>
      <c r="G40" s="3"/>
      <c r="H40" s="3"/>
      <c r="I40" s="3"/>
      <c r="J40" s="3"/>
      <c r="K40" s="55">
        <v>46142</v>
      </c>
      <c r="L40" s="56"/>
      <c r="M40" s="55"/>
    </row>
    <row r="41" spans="1:13">
      <c r="H41" s="57"/>
    </row>
    <row r="44" spans="1:13">
      <c r="H44">
        <f>H32/G32*100</f>
        <v>67.9577464788732</v>
      </c>
    </row>
    <row r="49" spans="8:17">
      <c r="Q49" t="s">
        <v>74</v>
      </c>
    </row>
    <row r="50" spans="8:17">
      <c r="H50" t="s">
        <v>75</v>
      </c>
      <c r="I50" s="57" t="e">
        <f>H13+#REF!+H14+H18+H22+H25+H26+H27+H30+#REF!+4700</f>
        <v>#REF!</v>
      </c>
    </row>
    <row r="51" spans="8:17">
      <c r="H51" t="s">
        <v>76</v>
      </c>
      <c r="I51" s="57">
        <f>H15+300</f>
        <v>1800</v>
      </c>
    </row>
  </sheetData>
  <mergeCells count="1">
    <mergeCell ref="A3:K3"/>
  </mergeCells>
  <pageMargins left="0.25" right="0.25" top="0.75" bottom="0.75" header="0.3" footer="0.3"/>
  <pageSetup paperSize="1" scale="64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52"/>
  <sheetViews>
    <sheetView zoomScale="95" zoomScaleNormal="95" workbookViewId="0">
      <selection activeCell="B12" sqref="B12"/>
    </sheetView>
  </sheetViews>
  <sheetFormatPr defaultColWidth="9" defaultRowHeight="15"/>
  <cols>
    <col min="2" max="2" width="19.1047619047619" customWidth="1"/>
    <col min="3" max="3" width="20.4380952380952" customWidth="1"/>
    <col min="4" max="4" width="9.66666666666667" customWidth="1"/>
    <col min="5" max="5" width="12.2190476190476" customWidth="1"/>
    <col min="6" max="6" width="8.55238095238095" customWidth="1"/>
    <col min="7" max="7" width="9.55238095238095" customWidth="1"/>
    <col min="8" max="8" width="10.2190476190476" customWidth="1"/>
    <col min="9" max="9" width="27.3333333333333" customWidth="1"/>
    <col min="10" max="10" width="9.55238095238095" customWidth="1"/>
    <col min="11" max="11" width="9.43809523809524" customWidth="1"/>
    <col min="12" max="12" width="17.4380952380952" customWidth="1"/>
    <col min="13" max="13" width="16.6666666666667" customWidth="1"/>
  </cols>
  <sheetData>
    <row r="1" spans="1:13">
      <c r="A1" s="2"/>
      <c r="B1" s="3"/>
      <c r="C1" s="4" t="s">
        <v>0</v>
      </c>
      <c r="D1" s="5"/>
      <c r="E1" s="3"/>
      <c r="F1" s="6"/>
      <c r="G1" s="7"/>
      <c r="H1" s="7"/>
      <c r="I1" s="8"/>
      <c r="J1" s="8"/>
      <c r="K1" s="9"/>
      <c r="L1" s="9"/>
      <c r="M1" s="9"/>
    </row>
    <row r="2" spans="1:13">
      <c r="A2" s="2" t="s">
        <v>1</v>
      </c>
      <c r="B2" s="2"/>
      <c r="C2" s="2"/>
      <c r="D2" s="2"/>
      <c r="E2" s="7"/>
      <c r="F2" s="6"/>
      <c r="G2" s="7"/>
      <c r="H2" s="7"/>
      <c r="I2" s="8"/>
      <c r="J2" s="8"/>
      <c r="K2" s="9"/>
      <c r="L2" s="9"/>
      <c r="M2" s="9"/>
    </row>
    <row r="3" spans="1:13">
      <c r="A3" s="10">
        <v>46173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2"/>
      <c r="M3" s="2"/>
    </row>
    <row r="4" spans="1:13">
      <c r="A4" s="2"/>
      <c r="B4" s="2"/>
      <c r="C4" s="2"/>
      <c r="D4" s="7"/>
      <c r="E4" s="7"/>
      <c r="F4" s="6"/>
      <c r="G4" s="7"/>
      <c r="H4" s="7"/>
      <c r="I4" s="8" t="s">
        <v>2</v>
      </c>
      <c r="J4" s="8"/>
      <c r="K4" s="12"/>
      <c r="L4" s="12"/>
      <c r="M4" s="12"/>
    </row>
    <row r="5" spans="1:13">
      <c r="A5" s="13"/>
      <c r="B5" s="13"/>
      <c r="C5" s="13"/>
      <c r="D5" s="12"/>
      <c r="E5" s="12"/>
      <c r="F5" s="14"/>
      <c r="G5" s="12"/>
      <c r="H5" s="12"/>
      <c r="I5" s="15" t="s">
        <v>3</v>
      </c>
      <c r="J5" s="15"/>
      <c r="K5" s="12"/>
      <c r="L5" s="12"/>
      <c r="M5" s="12"/>
    </row>
    <row r="6" spans="1:13">
      <c r="A6" s="13" t="s">
        <v>4</v>
      </c>
      <c r="B6" s="13"/>
      <c r="C6" s="13"/>
      <c r="D6" s="3"/>
      <c r="E6" s="3"/>
      <c r="F6" s="16"/>
      <c r="G6" s="3"/>
      <c r="H6" s="12" t="s">
        <v>5</v>
      </c>
      <c r="I6" s="15"/>
      <c r="J6" s="15"/>
      <c r="K6" s="12"/>
      <c r="L6" s="12"/>
      <c r="M6" s="12"/>
    </row>
    <row r="7" spans="1:13">
      <c r="A7" s="13"/>
      <c r="B7" s="13"/>
      <c r="C7" s="13"/>
      <c r="D7" s="3"/>
      <c r="E7" s="3"/>
      <c r="F7" s="16"/>
      <c r="G7" s="3"/>
      <c r="H7" s="12" t="s">
        <v>6</v>
      </c>
      <c r="I7" s="15"/>
      <c r="J7" s="15"/>
      <c r="K7" s="12"/>
      <c r="L7" s="12"/>
      <c r="M7" s="12"/>
    </row>
    <row r="8" spans="1:13">
      <c r="A8" s="13" t="s">
        <v>7</v>
      </c>
      <c r="B8" s="13"/>
      <c r="C8" s="13"/>
      <c r="D8" s="17"/>
      <c r="E8" s="12"/>
      <c r="F8" s="14"/>
      <c r="G8" s="12"/>
      <c r="H8" s="12"/>
      <c r="I8" s="15"/>
      <c r="J8" s="15"/>
      <c r="K8" s="12"/>
      <c r="L8" s="12"/>
      <c r="M8" s="12"/>
    </row>
    <row r="9" ht="22.5" spans="1:13">
      <c r="A9" s="2" t="s">
        <v>8</v>
      </c>
      <c r="B9" s="2" t="s">
        <v>9</v>
      </c>
      <c r="C9" s="2" t="s">
        <v>10</v>
      </c>
      <c r="D9" s="18" t="s">
        <v>11</v>
      </c>
      <c r="E9" s="19" t="s">
        <v>12</v>
      </c>
      <c r="F9" s="6" t="s">
        <v>13</v>
      </c>
      <c r="G9" s="20" t="s">
        <v>14</v>
      </c>
      <c r="H9" s="7" t="s">
        <v>15</v>
      </c>
      <c r="I9" s="2" t="s">
        <v>16</v>
      </c>
      <c r="J9" s="2" t="s">
        <v>17</v>
      </c>
      <c r="K9" s="7" t="s">
        <v>18</v>
      </c>
      <c r="L9" s="7" t="s">
        <v>19</v>
      </c>
      <c r="M9" s="7" t="s">
        <v>20</v>
      </c>
    </row>
    <row r="10" spans="1:13">
      <c r="A10" s="21"/>
      <c r="B10" s="2" t="s">
        <v>21</v>
      </c>
      <c r="C10" s="2"/>
      <c r="D10" s="18"/>
      <c r="E10" s="19"/>
      <c r="F10" s="22">
        <f>APR!K10</f>
        <v>0</v>
      </c>
      <c r="G10" s="23">
        <f>D10+E10+F10</f>
        <v>0</v>
      </c>
      <c r="H10" s="24"/>
      <c r="I10" s="25"/>
      <c r="J10" s="26" t="s">
        <v>137</v>
      </c>
      <c r="K10" s="7">
        <f>G10-H10</f>
        <v>0</v>
      </c>
      <c r="L10" s="7"/>
      <c r="M10" s="7"/>
    </row>
    <row r="11" spans="1:13">
      <c r="A11" s="21"/>
      <c r="B11" s="2" t="s">
        <v>21</v>
      </c>
      <c r="C11" s="2"/>
      <c r="D11" s="18"/>
      <c r="E11" s="19"/>
      <c r="F11" s="22">
        <f>APR!K11</f>
        <v>0</v>
      </c>
      <c r="G11" s="23">
        <f t="shared" ref="G11:G31" si="0">D11+E11+F11</f>
        <v>0</v>
      </c>
      <c r="H11" s="24"/>
      <c r="I11" s="25"/>
      <c r="J11" s="26" t="s">
        <v>137</v>
      </c>
      <c r="K11" s="7">
        <f t="shared" ref="K11:K12" si="1">G11-H11</f>
        <v>0</v>
      </c>
      <c r="L11" s="7"/>
      <c r="M11" s="7"/>
    </row>
    <row r="12" s="1" customFormat="1" spans="1:13">
      <c r="A12" s="3">
        <v>1</v>
      </c>
      <c r="B12" s="3" t="s">
        <v>93</v>
      </c>
      <c r="C12" s="3"/>
      <c r="D12" s="27"/>
      <c r="E12" s="28">
        <v>2500</v>
      </c>
      <c r="F12" s="22">
        <f>APR!K12</f>
        <v>900</v>
      </c>
      <c r="G12" s="23">
        <f t="shared" si="0"/>
        <v>3400</v>
      </c>
      <c r="H12" s="29">
        <f>2300</f>
        <v>2300</v>
      </c>
      <c r="I12" s="64" t="s">
        <v>138</v>
      </c>
      <c r="J12" s="26" t="s">
        <v>137</v>
      </c>
      <c r="K12" s="31">
        <f t="shared" si="1"/>
        <v>1100</v>
      </c>
      <c r="L12" s="31"/>
      <c r="M12" s="31" t="s">
        <v>116</v>
      </c>
    </row>
    <row r="13" spans="1:13">
      <c r="A13" s="21">
        <v>2</v>
      </c>
      <c r="B13" s="3" t="s">
        <v>30</v>
      </c>
      <c r="C13" s="32"/>
      <c r="D13" s="28"/>
      <c r="E13" s="28"/>
      <c r="F13" s="22"/>
      <c r="G13" s="23">
        <f t="shared" si="0"/>
        <v>0</v>
      </c>
      <c r="H13" s="29"/>
      <c r="I13" s="64"/>
      <c r="J13" s="26" t="s">
        <v>137</v>
      </c>
      <c r="K13" s="31">
        <f t="shared" ref="K13:K31" si="2">G13-H13</f>
        <v>0</v>
      </c>
      <c r="L13" s="34"/>
      <c r="M13" s="35"/>
    </row>
    <row r="14" spans="1:13">
      <c r="A14" s="21">
        <v>3</v>
      </c>
      <c r="B14" s="3" t="s">
        <v>27</v>
      </c>
      <c r="C14" s="82" t="s">
        <v>28</v>
      </c>
      <c r="D14" s="28"/>
      <c r="E14" s="28">
        <v>2500</v>
      </c>
      <c r="F14" s="22">
        <f>APR!K14</f>
        <v>3400</v>
      </c>
      <c r="G14" s="23">
        <f t="shared" si="0"/>
        <v>5900</v>
      </c>
      <c r="H14" s="36">
        <f>2500</f>
        <v>2500</v>
      </c>
      <c r="I14" s="64" t="s">
        <v>139</v>
      </c>
      <c r="J14" s="26" t="s">
        <v>137</v>
      </c>
      <c r="K14" s="31">
        <f t="shared" si="2"/>
        <v>3400</v>
      </c>
      <c r="L14" s="34" t="s">
        <v>97</v>
      </c>
      <c r="M14" s="35" t="s">
        <v>116</v>
      </c>
    </row>
    <row r="15" spans="1:13">
      <c r="A15" s="21">
        <v>4</v>
      </c>
      <c r="B15" s="3" t="s">
        <v>119</v>
      </c>
      <c r="C15" s="82" t="s">
        <v>120</v>
      </c>
      <c r="D15" s="28"/>
      <c r="E15" s="28">
        <v>2500</v>
      </c>
      <c r="F15" s="22">
        <f>APR!K15</f>
        <v>1000</v>
      </c>
      <c r="G15" s="23">
        <f t="shared" si="0"/>
        <v>3500</v>
      </c>
      <c r="H15" s="36">
        <f>1000</f>
        <v>1000</v>
      </c>
      <c r="I15" s="64" t="s">
        <v>140</v>
      </c>
      <c r="J15" s="26" t="s">
        <v>137</v>
      </c>
      <c r="K15" s="31">
        <f t="shared" si="2"/>
        <v>2500</v>
      </c>
      <c r="L15" s="34"/>
      <c r="M15" s="35"/>
    </row>
    <row r="16" spans="1:13">
      <c r="A16" s="21">
        <v>5</v>
      </c>
      <c r="B16" s="3" t="s">
        <v>31</v>
      </c>
      <c r="C16" s="32"/>
      <c r="D16" s="28"/>
      <c r="E16" s="28">
        <v>2500</v>
      </c>
      <c r="F16" s="22">
        <f>APR!K16</f>
        <v>0</v>
      </c>
      <c r="G16" s="23">
        <f t="shared" si="0"/>
        <v>2500</v>
      </c>
      <c r="H16" s="36">
        <f>2500</f>
        <v>2500</v>
      </c>
      <c r="I16" s="64" t="s">
        <v>141</v>
      </c>
      <c r="J16" s="26" t="s">
        <v>137</v>
      </c>
      <c r="K16" s="31">
        <f t="shared" si="2"/>
        <v>0</v>
      </c>
      <c r="L16" s="34"/>
      <c r="M16" s="35" t="s">
        <v>116</v>
      </c>
    </row>
    <row r="17" spans="1:15">
      <c r="A17" s="21">
        <v>6</v>
      </c>
      <c r="B17" s="3" t="s">
        <v>123</v>
      </c>
      <c r="C17" s="32"/>
      <c r="D17" s="28"/>
      <c r="E17" s="28">
        <v>2500</v>
      </c>
      <c r="F17" s="22">
        <f>APR!K17</f>
        <v>0</v>
      </c>
      <c r="G17" s="23">
        <f t="shared" si="0"/>
        <v>2500</v>
      </c>
      <c r="H17" s="36">
        <f>2500</f>
        <v>2500</v>
      </c>
      <c r="I17" s="64" t="s">
        <v>142</v>
      </c>
      <c r="J17" s="26" t="s">
        <v>137</v>
      </c>
      <c r="K17" s="31">
        <f t="shared" si="2"/>
        <v>0</v>
      </c>
      <c r="L17" s="34"/>
      <c r="M17" s="35" t="s">
        <v>116</v>
      </c>
    </row>
    <row r="18" ht="15.75" customHeight="1" spans="1:15">
      <c r="A18" s="21">
        <v>7</v>
      </c>
      <c r="B18" s="3" t="s">
        <v>125</v>
      </c>
      <c r="C18" s="82" t="s">
        <v>35</v>
      </c>
      <c r="D18" s="28"/>
      <c r="E18" s="28">
        <v>2500</v>
      </c>
      <c r="F18" s="22">
        <f>APR!K18</f>
        <v>400</v>
      </c>
      <c r="G18" s="23">
        <f t="shared" si="0"/>
        <v>2900</v>
      </c>
      <c r="H18" s="36">
        <f>2000</f>
        <v>2000</v>
      </c>
      <c r="I18" s="64" t="s">
        <v>143</v>
      </c>
      <c r="J18" s="26" t="s">
        <v>137</v>
      </c>
      <c r="K18" s="31">
        <f t="shared" si="2"/>
        <v>900</v>
      </c>
      <c r="L18" s="34"/>
      <c r="M18" s="35" t="s">
        <v>116</v>
      </c>
      <c r="O18" t="s">
        <v>37</v>
      </c>
    </row>
    <row r="19" spans="1:15">
      <c r="A19" s="21">
        <v>8</v>
      </c>
      <c r="B19" s="3" t="s">
        <v>38</v>
      </c>
      <c r="C19" s="32"/>
      <c r="D19" s="28"/>
      <c r="E19" s="28">
        <v>2500</v>
      </c>
      <c r="F19" s="22">
        <f>APR!K19</f>
        <v>750</v>
      </c>
      <c r="G19" s="23">
        <f t="shared" si="0"/>
        <v>3250</v>
      </c>
      <c r="H19" s="29">
        <f>750+2000</f>
        <v>2750</v>
      </c>
      <c r="I19" s="65" t="s">
        <v>144</v>
      </c>
      <c r="J19" s="26" t="s">
        <v>137</v>
      </c>
      <c r="K19" s="31">
        <f t="shared" si="2"/>
        <v>500</v>
      </c>
      <c r="L19" s="34"/>
      <c r="M19" s="35"/>
    </row>
    <row r="20" spans="1:15">
      <c r="A20" s="21">
        <v>9</v>
      </c>
      <c r="B20" s="3" t="s">
        <v>145</v>
      </c>
      <c r="C20" s="32"/>
      <c r="D20" s="28"/>
      <c r="E20" s="28">
        <v>2500</v>
      </c>
      <c r="F20" s="22">
        <f>APR!K20</f>
        <v>0</v>
      </c>
      <c r="G20" s="23">
        <f t="shared" si="0"/>
        <v>2500</v>
      </c>
      <c r="H20" s="66"/>
      <c r="I20" s="64"/>
      <c r="J20" s="67" t="s">
        <v>137</v>
      </c>
      <c r="K20" s="31">
        <f t="shared" si="2"/>
        <v>2500</v>
      </c>
      <c r="L20" s="34" t="s">
        <v>97</v>
      </c>
      <c r="M20" s="35"/>
    </row>
    <row r="21" spans="1:15">
      <c r="A21" s="21">
        <v>10</v>
      </c>
      <c r="B21" s="3" t="s">
        <v>85</v>
      </c>
      <c r="C21" s="32"/>
      <c r="D21" s="28"/>
      <c r="E21" s="28">
        <v>2500</v>
      </c>
      <c r="F21" s="22">
        <f>APR!K21</f>
        <v>800</v>
      </c>
      <c r="G21" s="23">
        <f t="shared" si="0"/>
        <v>3300</v>
      </c>
      <c r="H21" s="66"/>
      <c r="I21" s="68"/>
      <c r="J21" s="67" t="s">
        <v>137</v>
      </c>
      <c r="K21" s="31">
        <f t="shared" si="2"/>
        <v>3300</v>
      </c>
      <c r="L21" s="34" t="s">
        <v>97</v>
      </c>
      <c r="M21" s="35" t="s">
        <v>116</v>
      </c>
    </row>
    <row r="22" spans="1:15">
      <c r="A22" s="21">
        <v>11</v>
      </c>
      <c r="B22" s="3" t="s">
        <v>40</v>
      </c>
      <c r="C22" s="82" t="s">
        <v>41</v>
      </c>
      <c r="D22" s="28"/>
      <c r="E22" s="28">
        <v>2200</v>
      </c>
      <c r="F22" s="22">
        <f>APR!K22</f>
        <v>0</v>
      </c>
      <c r="G22" s="23">
        <f t="shared" si="0"/>
        <v>2200</v>
      </c>
      <c r="H22" s="36">
        <f>2200</f>
        <v>2200</v>
      </c>
      <c r="I22" s="69" t="s">
        <v>146</v>
      </c>
      <c r="J22" s="26" t="s">
        <v>137</v>
      </c>
      <c r="K22" s="31">
        <f t="shared" si="2"/>
        <v>0</v>
      </c>
      <c r="L22" s="34"/>
      <c r="M22" s="35" t="s">
        <v>116</v>
      </c>
    </row>
    <row r="23" spans="1:15">
      <c r="A23" s="21">
        <v>12</v>
      </c>
      <c r="B23" s="3" t="s">
        <v>39</v>
      </c>
      <c r="C23" s="32"/>
      <c r="D23" s="28"/>
      <c r="E23" s="28">
        <v>2500</v>
      </c>
      <c r="F23" s="22">
        <f>APR!K23</f>
        <v>500</v>
      </c>
      <c r="G23" s="23">
        <f t="shared" si="0"/>
        <v>3000</v>
      </c>
      <c r="H23" s="29">
        <f>3000</f>
        <v>3000</v>
      </c>
      <c r="I23" s="86" t="s">
        <v>24</v>
      </c>
      <c r="J23" s="26" t="s">
        <v>137</v>
      </c>
      <c r="K23" s="31">
        <f t="shared" si="2"/>
        <v>0</v>
      </c>
      <c r="L23" s="34"/>
      <c r="M23" s="35"/>
    </row>
    <row r="24" spans="1:15">
      <c r="A24" s="21">
        <v>13</v>
      </c>
      <c r="B24" s="3" t="s">
        <v>46</v>
      </c>
      <c r="C24" s="82" t="s">
        <v>47</v>
      </c>
      <c r="D24" s="28"/>
      <c r="E24" s="28">
        <v>2500</v>
      </c>
      <c r="F24" s="22">
        <f>APR!K24</f>
        <v>2500</v>
      </c>
      <c r="G24" s="23">
        <f t="shared" si="0"/>
        <v>5000</v>
      </c>
      <c r="H24" s="29">
        <v>4500</v>
      </c>
      <c r="I24" s="64" t="s">
        <v>24</v>
      </c>
      <c r="J24" s="26" t="s">
        <v>137</v>
      </c>
      <c r="K24" s="31">
        <f t="shared" si="2"/>
        <v>500</v>
      </c>
      <c r="L24" s="34" t="s">
        <v>88</v>
      </c>
      <c r="M24" s="35"/>
    </row>
    <row r="25" spans="1:15">
      <c r="A25" s="21">
        <v>14</v>
      </c>
      <c r="B25" s="3" t="s">
        <v>30</v>
      </c>
      <c r="C25" s="32"/>
      <c r="D25" s="28"/>
      <c r="E25" s="28"/>
      <c r="F25" s="22"/>
      <c r="G25" s="23">
        <f t="shared" si="0"/>
        <v>0</v>
      </c>
      <c r="H25" s="29"/>
      <c r="I25" s="70"/>
      <c r="J25" s="26" t="s">
        <v>137</v>
      </c>
      <c r="K25" s="31">
        <f t="shared" si="2"/>
        <v>0</v>
      </c>
      <c r="L25" s="34"/>
      <c r="M25" s="35"/>
    </row>
    <row r="26" spans="1:15">
      <c r="A26" s="21">
        <v>15</v>
      </c>
      <c r="B26" s="3" t="s">
        <v>49</v>
      </c>
      <c r="C26" s="82" t="s">
        <v>44</v>
      </c>
      <c r="D26" s="28"/>
      <c r="E26" s="28">
        <v>2500</v>
      </c>
      <c r="F26" s="22">
        <f>APR!K26</f>
        <v>1750</v>
      </c>
      <c r="G26" s="23">
        <f t="shared" si="0"/>
        <v>4250</v>
      </c>
      <c r="H26" s="29">
        <f>2500+1000</f>
        <v>3500</v>
      </c>
      <c r="I26" s="70" t="s">
        <v>147</v>
      </c>
      <c r="J26" s="26" t="s">
        <v>137</v>
      </c>
      <c r="K26" s="31">
        <f t="shared" si="2"/>
        <v>750</v>
      </c>
      <c r="L26" s="34" t="s">
        <v>148</v>
      </c>
      <c r="M26" s="35" t="s">
        <v>116</v>
      </c>
    </row>
    <row r="27" spans="1:15">
      <c r="A27" s="84" t="s">
        <v>51</v>
      </c>
      <c r="B27" s="3" t="s">
        <v>52</v>
      </c>
      <c r="C27" s="82" t="s">
        <v>53</v>
      </c>
      <c r="D27" s="28"/>
      <c r="E27" s="28">
        <v>3000</v>
      </c>
      <c r="F27" s="22">
        <f>APR!K27</f>
        <v>0</v>
      </c>
      <c r="G27" s="23">
        <f t="shared" si="0"/>
        <v>3000</v>
      </c>
      <c r="H27" s="36">
        <f>3000</f>
        <v>3000</v>
      </c>
      <c r="I27" s="64" t="s">
        <v>149</v>
      </c>
      <c r="J27" s="26" t="s">
        <v>137</v>
      </c>
      <c r="K27" s="31">
        <f t="shared" si="2"/>
        <v>0</v>
      </c>
      <c r="L27" s="34"/>
      <c r="M27" s="35" t="s">
        <v>55</v>
      </c>
    </row>
    <row r="28" spans="1:15">
      <c r="A28" s="21">
        <v>17</v>
      </c>
      <c r="B28" s="3" t="s">
        <v>21</v>
      </c>
      <c r="C28" s="32"/>
      <c r="D28" s="28"/>
      <c r="E28" s="28"/>
      <c r="F28" s="22">
        <f>APR!K28</f>
        <v>0</v>
      </c>
      <c r="G28" s="23">
        <f t="shared" si="0"/>
        <v>0</v>
      </c>
      <c r="H28" s="29"/>
      <c r="I28" s="64"/>
      <c r="J28" s="26" t="s">
        <v>137</v>
      </c>
      <c r="K28" s="31">
        <f t="shared" si="2"/>
        <v>0</v>
      </c>
      <c r="L28" s="34"/>
      <c r="M28" s="35"/>
    </row>
    <row r="29" spans="1:15">
      <c r="A29" s="21">
        <v>18</v>
      </c>
      <c r="B29" s="3" t="s">
        <v>39</v>
      </c>
      <c r="C29" s="32"/>
      <c r="D29" s="28"/>
      <c r="E29" s="28">
        <v>2500</v>
      </c>
      <c r="F29" s="22">
        <f>APR!K29</f>
        <v>0</v>
      </c>
      <c r="G29" s="23">
        <f t="shared" si="0"/>
        <v>2500</v>
      </c>
      <c r="H29" s="29">
        <f>2500</f>
        <v>2500</v>
      </c>
      <c r="I29" s="64" t="s">
        <v>24</v>
      </c>
      <c r="J29" s="26" t="s">
        <v>137</v>
      </c>
      <c r="K29" s="31">
        <f t="shared" si="2"/>
        <v>0</v>
      </c>
      <c r="L29" s="34"/>
      <c r="M29" s="35"/>
    </row>
    <row r="30" spans="1:15">
      <c r="A30" s="21">
        <v>19</v>
      </c>
      <c r="B30" s="3" t="s">
        <v>39</v>
      </c>
      <c r="C30" s="32"/>
      <c r="D30" s="28"/>
      <c r="E30" s="28">
        <v>2500</v>
      </c>
      <c r="F30" s="22"/>
      <c r="G30" s="23">
        <f t="shared" si="0"/>
        <v>2500</v>
      </c>
      <c r="H30" s="36">
        <f>2500</f>
        <v>2500</v>
      </c>
      <c r="I30" s="64" t="s">
        <v>24</v>
      </c>
      <c r="J30" s="26" t="s">
        <v>137</v>
      </c>
      <c r="K30" s="31">
        <f t="shared" si="2"/>
        <v>0</v>
      </c>
      <c r="L30" s="34" t="s">
        <v>110</v>
      </c>
      <c r="M30" s="35"/>
    </row>
    <row r="31" spans="1:15">
      <c r="A31" s="21">
        <v>21</v>
      </c>
      <c r="B31" s="39" t="s">
        <v>59</v>
      </c>
      <c r="C31" s="82" t="s">
        <v>60</v>
      </c>
      <c r="D31" s="28"/>
      <c r="E31" s="28">
        <v>2500</v>
      </c>
      <c r="F31" s="22">
        <f>APR!K31</f>
        <v>0</v>
      </c>
      <c r="G31" s="23">
        <f t="shared" si="0"/>
        <v>2500</v>
      </c>
      <c r="H31" s="29">
        <f>2500</f>
        <v>2500</v>
      </c>
      <c r="I31" s="70" t="s">
        <v>150</v>
      </c>
      <c r="J31" s="26" t="s">
        <v>137</v>
      </c>
      <c r="K31" s="31">
        <f t="shared" si="2"/>
        <v>0</v>
      </c>
      <c r="L31" s="34"/>
      <c r="M31" s="35"/>
    </row>
    <row r="32" spans="1:15">
      <c r="A32" s="2"/>
      <c r="B32" s="39"/>
      <c r="C32" s="32"/>
      <c r="D32" s="40">
        <f>SUM(D13:D30)</f>
        <v>0</v>
      </c>
      <c r="E32" s="40">
        <f>SUM(E10:E31)</f>
        <v>42700</v>
      </c>
      <c r="F32" s="40">
        <f>SUM(F10:F31)</f>
        <v>12000</v>
      </c>
      <c r="G32" s="40">
        <f>SUM(G10:G31)</f>
        <v>54700</v>
      </c>
      <c r="H32" s="40">
        <f>SUM(H10:H31)</f>
        <v>39250</v>
      </c>
      <c r="I32" s="40"/>
      <c r="J32" s="40">
        <f>SUM(J13:J30)</f>
        <v>0</v>
      </c>
      <c r="K32" s="40">
        <f>SUM(K10:K31)</f>
        <v>15450</v>
      </c>
      <c r="L32" s="41"/>
      <c r="M32" s="41"/>
    </row>
    <row r="33" spans="1:13">
      <c r="A33" s="42" t="s">
        <v>62</v>
      </c>
      <c r="B33" s="3"/>
      <c r="C33" s="32"/>
      <c r="D33" s="43"/>
      <c r="E33" s="44"/>
      <c r="F33" s="45"/>
      <c r="G33" s="44"/>
      <c r="H33" s="44"/>
      <c r="I33" s="2"/>
      <c r="J33" s="2"/>
      <c r="K33" s="44"/>
      <c r="L33" s="44"/>
      <c r="M33" s="44"/>
    </row>
    <row r="34" spans="1:13">
      <c r="A34" s="46" t="s">
        <v>63</v>
      </c>
      <c r="B34" s="3"/>
      <c r="C34" s="32"/>
      <c r="D34" s="43"/>
      <c r="E34" s="44"/>
      <c r="F34" s="45"/>
      <c r="G34" s="44"/>
      <c r="H34" s="44"/>
      <c r="I34" s="2"/>
      <c r="J34" s="2"/>
      <c r="K34" s="44"/>
      <c r="L34" s="44"/>
      <c r="M34" s="44"/>
    </row>
    <row r="35" spans="1:13">
      <c r="A35" s="3" t="s">
        <v>64</v>
      </c>
      <c r="B35" s="3"/>
      <c r="C35" s="32"/>
      <c r="D35" s="3"/>
      <c r="E35" s="3"/>
      <c r="F35" s="16"/>
      <c r="G35" s="3"/>
      <c r="H35" s="47">
        <f>H32*10%</f>
        <v>3925</v>
      </c>
      <c r="I35" s="3"/>
      <c r="J35" s="3"/>
      <c r="K35" s="3"/>
      <c r="L35" s="13"/>
      <c r="M35" s="3"/>
    </row>
    <row r="36" spans="1:13">
      <c r="A36" s="3" t="s">
        <v>151</v>
      </c>
      <c r="B36" s="3"/>
      <c r="C36" s="32"/>
      <c r="D36" s="3"/>
      <c r="E36" s="3"/>
      <c r="F36" s="16"/>
      <c r="G36" s="3"/>
      <c r="H36" s="47">
        <v>2678</v>
      </c>
      <c r="I36" s="3"/>
      <c r="J36" s="3"/>
      <c r="K36" s="3"/>
      <c r="L36" s="13"/>
      <c r="M36" s="3"/>
    </row>
    <row r="37" spans="1:13">
      <c r="A37" s="3" t="s">
        <v>66</v>
      </c>
      <c r="B37" s="3"/>
      <c r="C37" s="32"/>
      <c r="D37" s="3"/>
      <c r="E37" s="3"/>
      <c r="F37" s="16"/>
      <c r="G37" s="3"/>
      <c r="H37" s="47">
        <f>H30+H23+H29+H24</f>
        <v>12500</v>
      </c>
      <c r="I37" s="3"/>
      <c r="J37" s="3"/>
      <c r="K37" s="3"/>
      <c r="L37" s="13"/>
      <c r="M37" s="3"/>
    </row>
    <row r="38" spans="1:13">
      <c r="A38" s="13" t="s">
        <v>67</v>
      </c>
      <c r="B38" s="13"/>
      <c r="C38" s="13"/>
      <c r="D38" s="13"/>
      <c r="E38" s="13"/>
      <c r="F38" s="48"/>
      <c r="G38" s="13"/>
      <c r="H38" s="49">
        <f>SUM(H35:H37)</f>
        <v>19103</v>
      </c>
      <c r="I38" s="13"/>
      <c r="J38" s="3"/>
      <c r="K38" s="13"/>
      <c r="L38" s="13"/>
      <c r="M38" s="13"/>
    </row>
    <row r="39" spans="1:13">
      <c r="A39" s="3" t="s">
        <v>68</v>
      </c>
      <c r="B39" s="3"/>
      <c r="C39" s="3"/>
      <c r="D39" s="3"/>
      <c r="E39" s="3"/>
      <c r="F39" s="16"/>
      <c r="G39" s="3"/>
      <c r="H39" s="50">
        <f>APR!K39</f>
        <v>0</v>
      </c>
      <c r="I39" s="51" t="s">
        <v>69</v>
      </c>
      <c r="J39" s="51" t="s">
        <v>70</v>
      </c>
      <c r="K39" s="51" t="s">
        <v>71</v>
      </c>
      <c r="L39" s="52"/>
      <c r="M39" s="52"/>
    </row>
    <row r="40" ht="15.75" spans="1:13">
      <c r="A40" s="2" t="s">
        <v>72</v>
      </c>
      <c r="B40" s="2"/>
      <c r="C40" s="2"/>
      <c r="D40" s="2"/>
      <c r="E40" s="2"/>
      <c r="F40" s="45"/>
      <c r="G40" s="13"/>
      <c r="H40" s="53">
        <f>H32-H38+H39</f>
        <v>20147</v>
      </c>
      <c r="I40" s="48">
        <v>20000</v>
      </c>
      <c r="J40" s="48">
        <v>0</v>
      </c>
      <c r="K40" s="54">
        <f>H40-I40-J40</f>
        <v>147</v>
      </c>
      <c r="L40" s="52"/>
      <c r="M40" s="52"/>
    </row>
    <row r="41" ht="15.75" spans="1:13">
      <c r="A41" s="3" t="s">
        <v>73</v>
      </c>
      <c r="B41" s="3"/>
      <c r="C41" s="3"/>
      <c r="D41" s="3"/>
      <c r="E41" s="3"/>
      <c r="F41" s="16"/>
      <c r="G41" s="3"/>
      <c r="H41" s="3"/>
      <c r="I41" s="3"/>
      <c r="J41" s="3"/>
      <c r="K41" s="55">
        <v>46173</v>
      </c>
      <c r="L41" s="56"/>
      <c r="M41" s="55"/>
    </row>
    <row r="42" spans="1:13">
      <c r="H42" s="57"/>
    </row>
    <row r="45" spans="1:13">
      <c r="H45">
        <f>H32/G32*100</f>
        <v>71.7550274223035</v>
      </c>
    </row>
    <row r="46" spans="1:13">
      <c r="I46">
        <f>6658-3980</f>
        <v>2678</v>
      </c>
    </row>
    <row r="50" spans="8:17">
      <c r="Q50" t="s">
        <v>74</v>
      </c>
    </row>
    <row r="51" spans="8:17">
      <c r="H51" t="s">
        <v>75</v>
      </c>
      <c r="I51" s="57" t="e">
        <f>H13+#REF!+H14+H18+H22+H25+H26+H27+H30+#REF!+4700</f>
        <v>#REF!</v>
      </c>
    </row>
    <row r="52" spans="8:17">
      <c r="H52" t="s">
        <v>76</v>
      </c>
      <c r="I52" s="57">
        <f>H15+300</f>
        <v>1300</v>
      </c>
    </row>
  </sheetData>
  <mergeCells count="1">
    <mergeCell ref="A3:K3"/>
  </mergeCells>
  <pageMargins left="0.25" right="0.25" top="0.75" bottom="0.75" header="0.3" footer="0.3"/>
  <pageSetup paperSize="1" scale="64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50"/>
  <sheetViews>
    <sheetView tabSelected="1" zoomScale="95" zoomScaleNormal="95" workbookViewId="0">
      <selection activeCell="E13" sqref="E13"/>
    </sheetView>
  </sheetViews>
  <sheetFormatPr defaultColWidth="9" defaultRowHeight="15"/>
  <cols>
    <col min="2" max="2" width="19.1047619047619" customWidth="1"/>
    <col min="3" max="3" width="20.4380952380952" customWidth="1"/>
    <col min="4" max="4" width="9.66666666666667" customWidth="1"/>
    <col min="5" max="5" width="12.2190476190476" customWidth="1"/>
    <col min="6" max="6" width="8.43809523809524" customWidth="1"/>
    <col min="7" max="7" width="9.55238095238095" customWidth="1"/>
    <col min="8" max="8" width="10.2190476190476" customWidth="1"/>
    <col min="9" max="9" width="27.3333333333333" customWidth="1"/>
    <col min="10" max="10" width="9.55238095238095" customWidth="1"/>
    <col min="11" max="11" width="9.43809523809524" customWidth="1"/>
    <col min="12" max="12" width="10.1047619047619" customWidth="1"/>
    <col min="13" max="13" width="16.6666666666667" customWidth="1"/>
  </cols>
  <sheetData>
    <row r="1" spans="1:15">
      <c r="A1" s="2"/>
      <c r="B1" s="3"/>
      <c r="C1" s="4" t="s">
        <v>0</v>
      </c>
      <c r="D1" s="5"/>
      <c r="E1" s="3"/>
      <c r="F1" s="6"/>
      <c r="G1" s="7"/>
      <c r="H1" s="7"/>
      <c r="I1" s="8"/>
      <c r="J1" s="8"/>
      <c r="K1" s="9"/>
      <c r="L1" s="9"/>
      <c r="M1" s="9"/>
    </row>
    <row r="2" spans="1:15">
      <c r="A2" s="2" t="s">
        <v>1</v>
      </c>
      <c r="B2" s="2"/>
      <c r="C2" s="2"/>
      <c r="D2" s="2"/>
      <c r="E2" s="7"/>
      <c r="F2" s="6"/>
      <c r="G2" s="7"/>
      <c r="H2" s="7"/>
      <c r="I2" s="8"/>
      <c r="J2" s="8"/>
      <c r="K2" s="9"/>
      <c r="L2" s="9"/>
      <c r="M2" s="9"/>
    </row>
    <row r="3" spans="1:15">
      <c r="A3" s="10">
        <v>46203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2"/>
      <c r="M3" s="2"/>
    </row>
    <row r="4" spans="1:15">
      <c r="A4" s="2"/>
      <c r="B4" s="2"/>
      <c r="C4" s="2"/>
      <c r="D4" s="7"/>
      <c r="E4" s="7"/>
      <c r="F4" s="6"/>
      <c r="G4" s="7"/>
      <c r="H4" s="7"/>
      <c r="I4" s="8" t="s">
        <v>2</v>
      </c>
      <c r="J4" s="8"/>
      <c r="K4" s="12"/>
      <c r="L4" s="12"/>
      <c r="M4" s="12"/>
    </row>
    <row r="5" spans="1:15">
      <c r="A5" s="13"/>
      <c r="B5" s="13"/>
      <c r="C5" s="13"/>
      <c r="D5" s="12"/>
      <c r="E5" s="12"/>
      <c r="F5" s="14"/>
      <c r="G5" s="12"/>
      <c r="H5" s="12"/>
      <c r="I5" s="15" t="s">
        <v>3</v>
      </c>
      <c r="J5" s="15"/>
      <c r="K5" s="12"/>
      <c r="L5" s="12"/>
      <c r="M5" s="12"/>
    </row>
    <row r="6" spans="1:15">
      <c r="A6" s="13" t="s">
        <v>4</v>
      </c>
      <c r="B6" s="13"/>
      <c r="C6" s="13"/>
      <c r="D6" s="3"/>
      <c r="E6" s="3"/>
      <c r="F6" s="16"/>
      <c r="G6" s="3"/>
      <c r="H6" s="12" t="s">
        <v>5</v>
      </c>
      <c r="I6" s="15"/>
      <c r="J6" s="15"/>
      <c r="K6" s="12"/>
      <c r="L6" s="12"/>
      <c r="M6" s="12"/>
    </row>
    <row r="7" spans="1:15">
      <c r="A7" s="13"/>
      <c r="B7" s="13"/>
      <c r="C7" s="13"/>
      <c r="D7" s="3"/>
      <c r="E7" s="3"/>
      <c r="F7" s="16"/>
      <c r="G7" s="3"/>
      <c r="H7" s="12" t="s">
        <v>6</v>
      </c>
      <c r="I7" s="15"/>
      <c r="J7" s="15"/>
      <c r="K7" s="12"/>
      <c r="L7" s="12"/>
      <c r="M7" s="12"/>
    </row>
    <row r="8" spans="1:15">
      <c r="A8" s="13" t="s">
        <v>7</v>
      </c>
      <c r="B8" s="13"/>
      <c r="C8" s="13"/>
      <c r="D8" s="17"/>
      <c r="E8" s="12"/>
      <c r="F8" s="14"/>
      <c r="G8" s="12"/>
      <c r="H8" s="12"/>
      <c r="I8" s="15"/>
      <c r="J8" s="15"/>
      <c r="K8" s="12"/>
      <c r="L8" s="12"/>
      <c r="M8" s="12"/>
    </row>
    <row r="9" ht="22.5" spans="1:15">
      <c r="A9" s="2" t="s">
        <v>8</v>
      </c>
      <c r="B9" s="2" t="s">
        <v>9</v>
      </c>
      <c r="C9" s="2" t="s">
        <v>10</v>
      </c>
      <c r="D9" s="18" t="s">
        <v>11</v>
      </c>
      <c r="E9" s="19" t="s">
        <v>12</v>
      </c>
      <c r="F9" s="6" t="s">
        <v>13</v>
      </c>
      <c r="G9" s="20" t="s">
        <v>14</v>
      </c>
      <c r="H9" s="7" t="s">
        <v>15</v>
      </c>
      <c r="I9" s="2" t="s">
        <v>16</v>
      </c>
      <c r="J9" s="2" t="s">
        <v>17</v>
      </c>
      <c r="K9" s="7" t="s">
        <v>18</v>
      </c>
      <c r="L9" s="7" t="s">
        <v>19</v>
      </c>
      <c r="M9" s="7" t="s">
        <v>20</v>
      </c>
    </row>
    <row r="10" s="1" customFormat="1" spans="1:15">
      <c r="A10" s="3">
        <v>1</v>
      </c>
      <c r="B10" s="3" t="s">
        <v>39</v>
      </c>
      <c r="C10" s="3"/>
      <c r="D10" s="27"/>
      <c r="E10" s="28">
        <v>2500</v>
      </c>
      <c r="F10" s="22"/>
      <c r="G10" s="23">
        <f t="shared" ref="G10:G29" si="0">D10+E10+F10</f>
        <v>2500</v>
      </c>
      <c r="H10" s="29">
        <f>2500</f>
        <v>2500</v>
      </c>
      <c r="I10" s="63" t="s">
        <v>24</v>
      </c>
      <c r="J10" s="26" t="s">
        <v>152</v>
      </c>
      <c r="K10" s="31">
        <f>G10-H10</f>
        <v>0</v>
      </c>
      <c r="L10" s="31"/>
      <c r="M10" s="31" t="s">
        <v>116</v>
      </c>
    </row>
    <row r="11" spans="1:15">
      <c r="A11" s="21">
        <v>2</v>
      </c>
      <c r="B11" s="3" t="s">
        <v>30</v>
      </c>
      <c r="C11" s="32"/>
      <c r="D11" s="28"/>
      <c r="E11" s="28"/>
      <c r="F11" s="22">
        <f>MAY!K13</f>
        <v>0</v>
      </c>
      <c r="G11" s="23">
        <f t="shared" si="0"/>
        <v>0</v>
      </c>
      <c r="H11" s="29"/>
      <c r="I11" s="25"/>
      <c r="J11" s="26" t="s">
        <v>152</v>
      </c>
      <c r="K11" s="31">
        <f t="shared" ref="K11:K29" si="1">G11-H11</f>
        <v>0</v>
      </c>
      <c r="L11" s="34"/>
      <c r="M11" s="35"/>
    </row>
    <row r="12" spans="1:15">
      <c r="A12" s="21">
        <v>3</v>
      </c>
      <c r="B12" s="3" t="s">
        <v>93</v>
      </c>
      <c r="C12" s="32"/>
      <c r="D12" s="28"/>
      <c r="E12" s="28">
        <v>2500</v>
      </c>
      <c r="F12" s="22">
        <f>MAY!K12</f>
        <v>1100</v>
      </c>
      <c r="G12" s="23">
        <f t="shared" si="0"/>
        <v>3600</v>
      </c>
      <c r="H12" s="36">
        <f>2500+900</f>
        <v>3400</v>
      </c>
      <c r="I12" s="62" t="s">
        <v>153</v>
      </c>
      <c r="J12" s="26" t="s">
        <v>152</v>
      </c>
      <c r="K12" s="31">
        <f t="shared" si="1"/>
        <v>200</v>
      </c>
      <c r="L12" s="34"/>
      <c r="M12" s="35" t="s">
        <v>116</v>
      </c>
    </row>
    <row r="13" spans="1:15">
      <c r="A13" s="21">
        <v>4</v>
      </c>
      <c r="B13" s="3" t="s">
        <v>119</v>
      </c>
      <c r="C13" s="82" t="s">
        <v>120</v>
      </c>
      <c r="D13" s="28"/>
      <c r="E13" s="28">
        <v>2500</v>
      </c>
      <c r="F13" s="22">
        <f>MAY!K15</f>
        <v>2500</v>
      </c>
      <c r="G13" s="23">
        <f t="shared" si="0"/>
        <v>5000</v>
      </c>
      <c r="H13" s="36">
        <f>1500+1000+4000</f>
        <v>6500</v>
      </c>
      <c r="I13" s="62" t="s">
        <v>154</v>
      </c>
      <c r="J13" s="26" t="s">
        <v>152</v>
      </c>
      <c r="K13" s="31">
        <f t="shared" si="1"/>
        <v>-1500</v>
      </c>
      <c r="L13" s="34"/>
      <c r="M13" s="35"/>
    </row>
    <row r="14" spans="1:15">
      <c r="A14" s="21">
        <v>5</v>
      </c>
      <c r="B14" s="3" t="s">
        <v>31</v>
      </c>
      <c r="C14" s="32"/>
      <c r="D14" s="28"/>
      <c r="E14" s="28">
        <v>2500</v>
      </c>
      <c r="F14" s="22">
        <f>MAY!K16</f>
        <v>0</v>
      </c>
      <c r="G14" s="23">
        <f t="shared" si="0"/>
        <v>2500</v>
      </c>
      <c r="H14" s="36">
        <f>2500</f>
        <v>2500</v>
      </c>
      <c r="I14" s="62" t="s">
        <v>155</v>
      </c>
      <c r="J14" s="26" t="s">
        <v>152</v>
      </c>
      <c r="K14" s="31">
        <f t="shared" si="1"/>
        <v>0</v>
      </c>
      <c r="L14" s="34"/>
      <c r="M14" s="35" t="s">
        <v>116</v>
      </c>
    </row>
    <row r="15" spans="1:15">
      <c r="A15" s="21">
        <v>6</v>
      </c>
      <c r="B15" s="3" t="s">
        <v>123</v>
      </c>
      <c r="C15" s="32"/>
      <c r="D15" s="28"/>
      <c r="E15" s="28">
        <v>2500</v>
      </c>
      <c r="F15" s="22">
        <f>MAY!K17</f>
        <v>0</v>
      </c>
      <c r="G15" s="23">
        <f t="shared" si="0"/>
        <v>2500</v>
      </c>
      <c r="H15" s="36">
        <f>2500</f>
        <v>2500</v>
      </c>
      <c r="I15" s="62" t="s">
        <v>156</v>
      </c>
      <c r="J15" s="26" t="s">
        <v>152</v>
      </c>
      <c r="K15" s="31">
        <f t="shared" si="1"/>
        <v>0</v>
      </c>
      <c r="L15" s="34"/>
      <c r="M15" s="35" t="s">
        <v>116</v>
      </c>
    </row>
    <row r="16" spans="1:15">
      <c r="A16" s="21">
        <v>7</v>
      </c>
      <c r="B16" s="3" t="s">
        <v>125</v>
      </c>
      <c r="C16" s="82" t="s">
        <v>35</v>
      </c>
      <c r="D16" s="28"/>
      <c r="E16" s="28">
        <v>2500</v>
      </c>
      <c r="F16" s="22">
        <f>MAY!K18</f>
        <v>900</v>
      </c>
      <c r="G16" s="23">
        <f t="shared" si="0"/>
        <v>3400</v>
      </c>
      <c r="H16" s="36">
        <f>3000</f>
        <v>3000</v>
      </c>
      <c r="I16" s="62" t="s">
        <v>157</v>
      </c>
      <c r="J16" s="26" t="s">
        <v>152</v>
      </c>
      <c r="K16" s="31">
        <f t="shared" si="1"/>
        <v>400</v>
      </c>
      <c r="L16" s="34"/>
      <c r="M16" s="35" t="s">
        <v>116</v>
      </c>
      <c r="O16" t="s">
        <v>37</v>
      </c>
    </row>
    <row r="17" spans="1:13">
      <c r="A17" s="21">
        <v>8</v>
      </c>
      <c r="B17" s="3" t="s">
        <v>38</v>
      </c>
      <c r="C17" s="32"/>
      <c r="D17" s="28"/>
      <c r="E17" s="28">
        <v>2500</v>
      </c>
      <c r="F17" s="22">
        <f>MAY!K19</f>
        <v>500</v>
      </c>
      <c r="G17" s="23">
        <f t="shared" si="0"/>
        <v>3000</v>
      </c>
      <c r="H17" s="29">
        <f>500+1000</f>
        <v>1500</v>
      </c>
      <c r="I17" s="62" t="s">
        <v>158</v>
      </c>
      <c r="J17" s="26" t="s">
        <v>152</v>
      </c>
      <c r="K17" s="31">
        <f t="shared" si="1"/>
        <v>1500</v>
      </c>
      <c r="L17" s="34"/>
      <c r="M17" s="35"/>
    </row>
    <row r="18" spans="1:13">
      <c r="A18" s="21">
        <v>9</v>
      </c>
      <c r="B18" s="3" t="s">
        <v>39</v>
      </c>
      <c r="C18" s="32"/>
      <c r="D18" s="28"/>
      <c r="E18" s="28">
        <v>2500</v>
      </c>
      <c r="F18" s="22">
        <f>MAY!K20</f>
        <v>2500</v>
      </c>
      <c r="G18" s="23">
        <f t="shared" si="0"/>
        <v>5000</v>
      </c>
      <c r="H18" s="29">
        <f>1300+1200+1500+1000</f>
        <v>5000</v>
      </c>
      <c r="I18" s="62" t="s">
        <v>159</v>
      </c>
      <c r="J18" s="26" t="s">
        <v>152</v>
      </c>
      <c r="K18" s="31">
        <f t="shared" si="1"/>
        <v>0</v>
      </c>
      <c r="L18" s="34"/>
      <c r="M18" s="35"/>
    </row>
    <row r="19" spans="1:13">
      <c r="A19" s="21">
        <v>10</v>
      </c>
      <c r="B19" s="3" t="s">
        <v>85</v>
      </c>
      <c r="C19" s="32"/>
      <c r="D19" s="28"/>
      <c r="E19" s="28">
        <v>2500</v>
      </c>
      <c r="F19" s="22">
        <f>MAY!K21</f>
        <v>3300</v>
      </c>
      <c r="G19" s="23">
        <f t="shared" si="0"/>
        <v>5800</v>
      </c>
      <c r="H19" s="29">
        <f>2000+2000</f>
        <v>4000</v>
      </c>
      <c r="I19" s="62" t="s">
        <v>160</v>
      </c>
      <c r="J19" s="26" t="s">
        <v>152</v>
      </c>
      <c r="K19" s="31">
        <f t="shared" si="1"/>
        <v>1800</v>
      </c>
      <c r="L19" s="34"/>
      <c r="M19" s="35" t="s">
        <v>116</v>
      </c>
    </row>
    <row r="20" spans="1:13">
      <c r="A20" s="21">
        <v>11</v>
      </c>
      <c r="B20" s="3" t="s">
        <v>40</v>
      </c>
      <c r="C20" s="82" t="s">
        <v>41</v>
      </c>
      <c r="D20" s="28"/>
      <c r="E20" s="28">
        <v>2200</v>
      </c>
      <c r="F20" s="22">
        <f>MAY!K22</f>
        <v>0</v>
      </c>
      <c r="G20" s="23">
        <f t="shared" si="0"/>
        <v>2200</v>
      </c>
      <c r="H20" s="36">
        <f>2200</f>
        <v>2200</v>
      </c>
      <c r="I20" s="62" t="s">
        <v>161</v>
      </c>
      <c r="J20" s="26" t="s">
        <v>152</v>
      </c>
      <c r="K20" s="31">
        <f t="shared" si="1"/>
        <v>0</v>
      </c>
      <c r="L20" s="34"/>
      <c r="M20" s="35" t="s">
        <v>116</v>
      </c>
    </row>
    <row r="21" spans="1:13">
      <c r="A21" s="21">
        <v>12</v>
      </c>
      <c r="B21" s="3" t="s">
        <v>39</v>
      </c>
      <c r="C21" s="32"/>
      <c r="D21" s="28"/>
      <c r="E21" s="28">
        <v>2500</v>
      </c>
      <c r="F21" s="22">
        <f>MAY!K23</f>
        <v>0</v>
      </c>
      <c r="G21" s="23">
        <f t="shared" si="0"/>
        <v>2500</v>
      </c>
      <c r="H21" s="29"/>
      <c r="I21" s="25"/>
      <c r="J21" s="26" t="s">
        <v>152</v>
      </c>
      <c r="K21" s="31">
        <f t="shared" si="1"/>
        <v>2500</v>
      </c>
      <c r="L21" s="34"/>
      <c r="M21" s="35"/>
    </row>
    <row r="22" spans="1:13">
      <c r="A22" s="21">
        <v>13</v>
      </c>
      <c r="B22" s="3" t="s">
        <v>46</v>
      </c>
      <c r="C22" s="82" t="s">
        <v>47</v>
      </c>
      <c r="D22" s="28"/>
      <c r="E22" s="28">
        <v>2500</v>
      </c>
      <c r="F22" s="22">
        <f>MAY!K24</f>
        <v>500</v>
      </c>
      <c r="G22" s="23">
        <f t="shared" si="0"/>
        <v>3000</v>
      </c>
      <c r="H22" s="29"/>
      <c r="I22" s="63"/>
      <c r="J22" s="26" t="s">
        <v>152</v>
      </c>
      <c r="K22" s="31">
        <f t="shared" si="1"/>
        <v>3000</v>
      </c>
      <c r="L22" s="34" t="s">
        <v>88</v>
      </c>
      <c r="M22" s="35"/>
    </row>
    <row r="23" spans="1:13">
      <c r="A23" s="21">
        <v>14</v>
      </c>
      <c r="B23" s="3" t="s">
        <v>132</v>
      </c>
      <c r="C23" s="32"/>
      <c r="D23" s="28"/>
      <c r="E23" s="28">
        <v>2500</v>
      </c>
      <c r="F23" s="22">
        <f>MAY!K25</f>
        <v>0</v>
      </c>
      <c r="G23" s="23">
        <f t="shared" si="0"/>
        <v>2500</v>
      </c>
      <c r="H23" s="29">
        <f>2500</f>
        <v>2500</v>
      </c>
      <c r="I23" s="25" t="s">
        <v>24</v>
      </c>
      <c r="J23" s="26" t="s">
        <v>152</v>
      </c>
      <c r="K23" s="31">
        <f t="shared" si="1"/>
        <v>0</v>
      </c>
      <c r="L23" s="34"/>
      <c r="M23" s="35"/>
    </row>
    <row r="24" spans="1:13">
      <c r="A24" s="21">
        <v>15</v>
      </c>
      <c r="B24" s="3" t="s">
        <v>39</v>
      </c>
      <c r="C24" s="32"/>
      <c r="D24" s="28"/>
      <c r="E24" s="28">
        <v>2500</v>
      </c>
      <c r="F24" s="22"/>
      <c r="G24" s="23">
        <f t="shared" si="0"/>
        <v>2500</v>
      </c>
      <c r="H24" s="29">
        <v>2500</v>
      </c>
      <c r="I24" s="63" t="s">
        <v>24</v>
      </c>
      <c r="J24" s="26" t="s">
        <v>152</v>
      </c>
      <c r="K24" s="31">
        <f t="shared" si="1"/>
        <v>0</v>
      </c>
      <c r="L24" s="34"/>
      <c r="M24" s="35" t="s">
        <v>116</v>
      </c>
    </row>
    <row r="25" spans="1:13">
      <c r="A25" s="84" t="s">
        <v>51</v>
      </c>
      <c r="B25" s="3" t="s">
        <v>52</v>
      </c>
      <c r="C25" s="82" t="s">
        <v>53</v>
      </c>
      <c r="D25" s="28"/>
      <c r="E25" s="28">
        <v>3000</v>
      </c>
      <c r="F25" s="22">
        <f>MAY!K27</f>
        <v>0</v>
      </c>
      <c r="G25" s="23">
        <f t="shared" si="0"/>
        <v>3000</v>
      </c>
      <c r="H25" s="36">
        <f>3000</f>
        <v>3000</v>
      </c>
      <c r="I25" s="62" t="s">
        <v>162</v>
      </c>
      <c r="J25" s="26" t="s">
        <v>152</v>
      </c>
      <c r="K25" s="31">
        <f t="shared" si="1"/>
        <v>0</v>
      </c>
      <c r="L25" s="34"/>
      <c r="M25" s="35" t="s">
        <v>55</v>
      </c>
    </row>
    <row r="26" spans="1:13">
      <c r="A26" s="21">
        <v>17</v>
      </c>
      <c r="B26" s="3" t="s">
        <v>21</v>
      </c>
      <c r="C26" s="32"/>
      <c r="D26" s="28"/>
      <c r="E26" s="28"/>
      <c r="F26" s="22">
        <f>MAY!K28</f>
        <v>0</v>
      </c>
      <c r="G26" s="23">
        <f t="shared" si="0"/>
        <v>0</v>
      </c>
      <c r="H26" s="29"/>
      <c r="I26" s="25"/>
      <c r="J26" s="26" t="s">
        <v>152</v>
      </c>
      <c r="K26" s="31">
        <f t="shared" si="1"/>
        <v>0</v>
      </c>
      <c r="L26" s="34"/>
      <c r="M26" s="35"/>
    </row>
    <row r="27" spans="1:13">
      <c r="A27" s="21">
        <v>18</v>
      </c>
      <c r="B27" s="3" t="s">
        <v>39</v>
      </c>
      <c r="C27" s="32"/>
      <c r="D27" s="28"/>
      <c r="E27" s="28">
        <v>2500</v>
      </c>
      <c r="F27" s="22">
        <f>MAY!K29</f>
        <v>0</v>
      </c>
      <c r="G27" s="23">
        <f t="shared" si="0"/>
        <v>2500</v>
      </c>
      <c r="H27" s="29">
        <f>2500</f>
        <v>2500</v>
      </c>
      <c r="I27" s="63" t="s">
        <v>24</v>
      </c>
      <c r="J27" s="26" t="s">
        <v>152</v>
      </c>
      <c r="K27" s="31">
        <f t="shared" si="1"/>
        <v>0</v>
      </c>
      <c r="L27" s="34"/>
      <c r="M27" s="35"/>
    </row>
    <row r="28" spans="1:13">
      <c r="A28" s="21">
        <v>19</v>
      </c>
      <c r="B28" s="3" t="s">
        <v>163</v>
      </c>
      <c r="C28" s="82" t="s">
        <v>164</v>
      </c>
      <c r="D28" s="28"/>
      <c r="E28" s="28">
        <v>2500</v>
      </c>
      <c r="F28" s="22">
        <f>MAY!K30</f>
        <v>0</v>
      </c>
      <c r="G28" s="23">
        <f t="shared" si="0"/>
        <v>2500</v>
      </c>
      <c r="H28" s="36">
        <f>2000</f>
        <v>2000</v>
      </c>
      <c r="I28" s="63" t="s">
        <v>24</v>
      </c>
      <c r="J28" s="26" t="s">
        <v>152</v>
      </c>
      <c r="K28" s="31">
        <f t="shared" si="1"/>
        <v>500</v>
      </c>
      <c r="L28" s="34" t="s">
        <v>110</v>
      </c>
      <c r="M28" s="35"/>
    </row>
    <row r="29" spans="1:13">
      <c r="A29" s="21">
        <v>21</v>
      </c>
      <c r="B29" s="39" t="s">
        <v>59</v>
      </c>
      <c r="C29" s="82" t="s">
        <v>60</v>
      </c>
      <c r="D29" s="28"/>
      <c r="E29" s="28">
        <v>2500</v>
      </c>
      <c r="F29" s="22">
        <f>MAY!K31</f>
        <v>0</v>
      </c>
      <c r="G29" s="23">
        <f t="shared" si="0"/>
        <v>2500</v>
      </c>
      <c r="H29" s="29">
        <f>2500</f>
        <v>2500</v>
      </c>
      <c r="I29" s="62" t="s">
        <v>165</v>
      </c>
      <c r="J29" s="26" t="s">
        <v>152</v>
      </c>
      <c r="K29" s="31">
        <f t="shared" si="1"/>
        <v>0</v>
      </c>
      <c r="L29" s="34"/>
      <c r="M29" s="35"/>
    </row>
    <row r="30" spans="1:13">
      <c r="A30" s="2"/>
      <c r="B30" s="39"/>
      <c r="C30" s="32"/>
      <c r="D30" s="40">
        <f>SUM(D11:D28)</f>
        <v>0</v>
      </c>
      <c r="E30" s="40">
        <f>SUM(E10:E29)</f>
        <v>45200</v>
      </c>
      <c r="F30" s="40">
        <f>SUM(F10:F29)</f>
        <v>11300</v>
      </c>
      <c r="G30" s="40">
        <f>SUM(G10:G29)</f>
        <v>56500</v>
      </c>
      <c r="H30" s="40">
        <f>SUM(H10:H29)</f>
        <v>48100</v>
      </c>
      <c r="I30" s="40"/>
      <c r="J30" s="40">
        <f>SUM(J11:J28)</f>
        <v>0</v>
      </c>
      <c r="K30" s="40">
        <f>SUM(K10:K29)</f>
        <v>8400</v>
      </c>
      <c r="L30" s="41"/>
      <c r="M30" s="41"/>
    </row>
    <row r="31" spans="1:13">
      <c r="A31" s="42" t="s">
        <v>62</v>
      </c>
      <c r="B31" s="3"/>
      <c r="C31" s="32"/>
      <c r="D31" s="43"/>
      <c r="E31" s="44"/>
      <c r="F31" s="45"/>
      <c r="G31" s="44"/>
      <c r="H31" s="44"/>
      <c r="I31" s="2"/>
      <c r="J31" s="2"/>
      <c r="K31" s="44"/>
      <c r="L31" s="44"/>
      <c r="M31" s="44"/>
    </row>
    <row r="32" spans="1:13">
      <c r="A32" s="46" t="s">
        <v>63</v>
      </c>
      <c r="B32" s="3"/>
      <c r="C32" s="32"/>
      <c r="D32" s="43"/>
      <c r="E32" s="44"/>
      <c r="F32" s="45"/>
      <c r="G32" s="44"/>
      <c r="H32" s="44"/>
      <c r="I32" s="2"/>
      <c r="J32" s="2"/>
      <c r="K32" s="44"/>
      <c r="L32" s="44"/>
      <c r="M32" s="44"/>
    </row>
    <row r="33" spans="1:17">
      <c r="A33" s="3" t="s">
        <v>64</v>
      </c>
      <c r="B33" s="3"/>
      <c r="C33" s="32"/>
      <c r="D33" s="3"/>
      <c r="E33" s="3"/>
      <c r="F33" s="16"/>
      <c r="G33" s="3"/>
      <c r="H33" s="47">
        <f>H30*10%</f>
        <v>4810</v>
      </c>
      <c r="I33" s="3"/>
      <c r="J33" s="3"/>
      <c r="K33" s="3"/>
      <c r="L33" s="13"/>
      <c r="M33" s="3"/>
    </row>
    <row r="34" spans="1:17">
      <c r="A34" s="3" t="s">
        <v>151</v>
      </c>
      <c r="B34" s="3"/>
      <c r="C34" s="32"/>
      <c r="D34" s="3"/>
      <c r="E34" s="3"/>
      <c r="F34" s="16"/>
      <c r="G34" s="3"/>
      <c r="H34" s="47">
        <f>2250</f>
        <v>2250</v>
      </c>
      <c r="I34" s="3"/>
      <c r="J34" s="3"/>
      <c r="K34" s="3"/>
      <c r="L34" s="13"/>
      <c r="M34" s="3"/>
    </row>
    <row r="35" spans="1:17">
      <c r="A35" s="3" t="s">
        <v>66</v>
      </c>
      <c r="B35" s="3"/>
      <c r="C35" s="32"/>
      <c r="D35" s="3"/>
      <c r="E35" s="3"/>
      <c r="F35" s="16"/>
      <c r="G35" s="3"/>
      <c r="H35" s="47">
        <f>H27+H24+H23+H10+900+H28</f>
        <v>12900</v>
      </c>
      <c r="I35" s="3"/>
      <c r="J35" s="3"/>
      <c r="K35" s="3"/>
      <c r="L35" s="13"/>
      <c r="M35" s="3"/>
    </row>
    <row r="36" spans="1:17">
      <c r="A36" s="13" t="s">
        <v>67</v>
      </c>
      <c r="B36" s="13"/>
      <c r="C36" s="13"/>
      <c r="D36" s="13"/>
      <c r="E36" s="13"/>
      <c r="F36" s="48"/>
      <c r="G36" s="13"/>
      <c r="H36" s="49">
        <f>SUM(H33:H35)</f>
        <v>19960</v>
      </c>
      <c r="I36" s="13"/>
      <c r="J36" s="3"/>
      <c r="K36" s="13"/>
      <c r="L36" s="13"/>
      <c r="M36" s="13"/>
    </row>
    <row r="37" spans="1:17">
      <c r="A37" s="3" t="s">
        <v>68</v>
      </c>
      <c r="B37" s="3"/>
      <c r="C37" s="3"/>
      <c r="D37" s="3"/>
      <c r="E37" s="3"/>
      <c r="F37" s="16"/>
      <c r="G37" s="3"/>
      <c r="H37" s="50">
        <f>MAY!K40</f>
        <v>147</v>
      </c>
      <c r="I37" s="51" t="s">
        <v>69</v>
      </c>
      <c r="J37" s="51" t="s">
        <v>70</v>
      </c>
      <c r="K37" s="51" t="s">
        <v>71</v>
      </c>
      <c r="L37" s="52"/>
      <c r="M37" s="52"/>
    </row>
    <row r="38" ht="15.75" spans="1:17">
      <c r="A38" s="2" t="s">
        <v>72</v>
      </c>
      <c r="B38" s="2"/>
      <c r="C38" s="2"/>
      <c r="D38" s="2"/>
      <c r="E38" s="2"/>
      <c r="F38" s="45"/>
      <c r="G38" s="13"/>
      <c r="H38" s="53">
        <f>H30-H36+H37</f>
        <v>28287</v>
      </c>
      <c r="I38" s="48">
        <v>20000</v>
      </c>
      <c r="J38" s="48">
        <f>1742+6545</f>
        <v>8287</v>
      </c>
      <c r="K38" s="54">
        <f>H38-I38-J38</f>
        <v>0</v>
      </c>
      <c r="L38" s="52"/>
      <c r="M38" s="52"/>
    </row>
    <row r="39" ht="15.75" spans="1:17">
      <c r="A39" s="3" t="s">
        <v>73</v>
      </c>
      <c r="B39" s="3"/>
      <c r="C39" s="3"/>
      <c r="D39" s="3"/>
      <c r="E39" s="3"/>
      <c r="F39" s="16"/>
      <c r="G39" s="3"/>
      <c r="H39" s="3"/>
      <c r="I39" s="3"/>
      <c r="J39" s="3"/>
      <c r="K39" s="55">
        <v>46203</v>
      </c>
      <c r="L39" s="56"/>
      <c r="M39" s="55"/>
    </row>
    <row r="40" spans="1:17">
      <c r="H40" s="57"/>
    </row>
    <row r="43" spans="1:17">
      <c r="H43">
        <f>H30/G30*100</f>
        <v>85.1327433628319</v>
      </c>
    </row>
    <row r="44" spans="1:17">
      <c r="I44">
        <f>6658-3980</f>
        <v>2678</v>
      </c>
    </row>
    <row r="48" spans="1:17">
      <c r="Q48" t="s">
        <v>74</v>
      </c>
    </row>
    <row r="49" spans="8:10">
      <c r="H49" t="s">
        <v>75</v>
      </c>
      <c r="I49" s="57">
        <f>H30-H35</f>
        <v>35200</v>
      </c>
      <c r="J49" s="57">
        <f>I49-31200</f>
        <v>4000</v>
      </c>
    </row>
    <row r="50" spans="8:10">
      <c r="H50" t="s">
        <v>76</v>
      </c>
      <c r="I50" s="57">
        <f>H13+300</f>
        <v>6800</v>
      </c>
    </row>
  </sheetData>
  <mergeCells count="1">
    <mergeCell ref="A3:K3"/>
  </mergeCells>
  <pageMargins left="0.25" right="0.25" top="0.75" bottom="0.75" header="0.3" footer="0.3"/>
  <pageSetup paperSize="1" scale="64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52"/>
  <sheetViews>
    <sheetView zoomScale="95" zoomScaleNormal="95" topLeftCell="A22" workbookViewId="0">
      <selection activeCell="J40" sqref="J40"/>
    </sheetView>
  </sheetViews>
  <sheetFormatPr defaultColWidth="9" defaultRowHeight="15"/>
  <cols>
    <col min="2" max="2" width="19.1047619047619" customWidth="1"/>
    <col min="3" max="3" width="20.4380952380952" customWidth="1"/>
    <col min="4" max="4" width="9.66666666666667" customWidth="1"/>
    <col min="5" max="5" width="12.2190476190476" customWidth="1"/>
    <col min="6" max="6" width="8.43809523809524" customWidth="1"/>
    <col min="7" max="7" width="9.55238095238095" customWidth="1"/>
    <col min="8" max="8" width="10.2190476190476" customWidth="1"/>
    <col min="9" max="9" width="30.2190476190476" customWidth="1"/>
    <col min="10" max="10" width="9.55238095238095" customWidth="1"/>
    <col min="11" max="11" width="9.43809523809524" customWidth="1"/>
    <col min="12" max="12" width="10.1047619047619" customWidth="1"/>
    <col min="13" max="13" width="16.6666666666667" customWidth="1"/>
  </cols>
  <sheetData>
    <row r="1" spans="1:13">
      <c r="A1" s="2"/>
      <c r="B1" s="3"/>
      <c r="C1" s="4" t="s">
        <v>0</v>
      </c>
      <c r="D1" s="5"/>
      <c r="E1" s="3"/>
      <c r="F1" s="6"/>
      <c r="G1" s="7"/>
      <c r="H1" s="7"/>
      <c r="I1" s="8"/>
      <c r="J1" s="8"/>
      <c r="K1" s="9"/>
      <c r="L1" s="9"/>
      <c r="M1" s="9"/>
    </row>
    <row r="2" spans="1:13">
      <c r="A2" s="2" t="s">
        <v>1</v>
      </c>
      <c r="B2" s="2"/>
      <c r="C2" s="2"/>
      <c r="D2" s="2"/>
      <c r="E2" s="7"/>
      <c r="F2" s="6"/>
      <c r="G2" s="7"/>
      <c r="H2" s="7"/>
      <c r="I2" s="8"/>
      <c r="J2" s="8"/>
      <c r="K2" s="9"/>
      <c r="L2" s="9"/>
      <c r="M2" s="9"/>
    </row>
    <row r="3" spans="1:13">
      <c r="A3" s="10">
        <v>46234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2"/>
      <c r="M3" s="2"/>
    </row>
    <row r="4" spans="1:13">
      <c r="A4" s="2"/>
      <c r="B4" s="2"/>
      <c r="C4" s="2"/>
      <c r="D4" s="7"/>
      <c r="E4" s="7"/>
      <c r="F4" s="6"/>
      <c r="G4" s="7"/>
      <c r="H4" s="7"/>
      <c r="I4" s="8" t="s">
        <v>2</v>
      </c>
      <c r="J4" s="8"/>
      <c r="K4" s="12"/>
      <c r="L4" s="12"/>
      <c r="M4" s="12"/>
    </row>
    <row r="5" spans="1:13">
      <c r="A5" s="13"/>
      <c r="B5" s="13"/>
      <c r="C5" s="13"/>
      <c r="D5" s="12"/>
      <c r="E5" s="12"/>
      <c r="F5" s="14"/>
      <c r="G5" s="12"/>
      <c r="H5" s="12"/>
      <c r="I5" s="15" t="s">
        <v>3</v>
      </c>
      <c r="J5" s="15"/>
      <c r="K5" s="12"/>
      <c r="L5" s="12"/>
      <c r="M5" s="12"/>
    </row>
    <row r="6" spans="1:13">
      <c r="A6" s="13" t="s">
        <v>4</v>
      </c>
      <c r="B6" s="13"/>
      <c r="C6" s="13"/>
      <c r="D6" s="3"/>
      <c r="E6" s="3"/>
      <c r="F6" s="16"/>
      <c r="G6" s="3"/>
      <c r="H6" s="12" t="s">
        <v>5</v>
      </c>
      <c r="I6" s="15"/>
      <c r="J6" s="15"/>
      <c r="K6" s="12"/>
      <c r="L6" s="12"/>
      <c r="M6" s="12"/>
    </row>
    <row r="7" spans="1:13">
      <c r="A7" s="13"/>
      <c r="B7" s="13"/>
      <c r="C7" s="13"/>
      <c r="D7" s="3"/>
      <c r="E7" s="3"/>
      <c r="F7" s="16"/>
      <c r="G7" s="3"/>
      <c r="H7" s="12" t="s">
        <v>6</v>
      </c>
      <c r="I7" s="15"/>
      <c r="J7" s="15"/>
      <c r="K7" s="12"/>
      <c r="L7" s="12"/>
      <c r="M7" s="12"/>
    </row>
    <row r="8" spans="1:13">
      <c r="A8" s="13" t="s">
        <v>7</v>
      </c>
      <c r="B8" s="13"/>
      <c r="C8" s="13"/>
      <c r="D8" s="17"/>
      <c r="E8" s="12"/>
      <c r="F8" s="14"/>
      <c r="G8" s="12"/>
      <c r="H8" s="12"/>
      <c r="I8" s="15"/>
      <c r="J8" s="15"/>
      <c r="K8" s="12"/>
      <c r="L8" s="12"/>
      <c r="M8" s="12"/>
    </row>
    <row r="9" ht="22.5" spans="1:13">
      <c r="A9" s="2" t="s">
        <v>8</v>
      </c>
      <c r="B9" s="2" t="s">
        <v>9</v>
      </c>
      <c r="C9" s="2" t="s">
        <v>10</v>
      </c>
      <c r="D9" s="18" t="s">
        <v>11</v>
      </c>
      <c r="E9" s="19" t="s">
        <v>12</v>
      </c>
      <c r="F9" s="6" t="s">
        <v>13</v>
      </c>
      <c r="G9" s="20" t="s">
        <v>14</v>
      </c>
      <c r="H9" s="7" t="s">
        <v>15</v>
      </c>
      <c r="I9" s="2" t="s">
        <v>16</v>
      </c>
      <c r="J9" s="2" t="s">
        <v>17</v>
      </c>
      <c r="K9" s="7" t="s">
        <v>18</v>
      </c>
      <c r="L9" s="7" t="s">
        <v>19</v>
      </c>
      <c r="M9" s="7" t="s">
        <v>20</v>
      </c>
    </row>
    <row r="10" spans="1:13">
      <c r="A10" s="21"/>
      <c r="B10" s="2" t="s">
        <v>21</v>
      </c>
      <c r="C10" s="2"/>
      <c r="D10" s="18"/>
      <c r="E10" s="19"/>
      <c r="F10" s="22" t="e">
        <f>JUNE!#REF!</f>
        <v>#REF!</v>
      </c>
      <c r="G10" s="23" t="e">
        <f>D10+E10+F10</f>
        <v>#REF!</v>
      </c>
      <c r="H10" s="24"/>
      <c r="I10" s="25"/>
      <c r="J10" s="26" t="s">
        <v>166</v>
      </c>
      <c r="K10" s="7" t="e">
        <f>G10-H10</f>
        <v>#REF!</v>
      </c>
      <c r="L10" s="7"/>
      <c r="M10" s="7"/>
    </row>
    <row r="11" spans="1:13">
      <c r="A11" s="21"/>
      <c r="B11" s="2" t="s">
        <v>21</v>
      </c>
      <c r="C11" s="2"/>
      <c r="D11" s="18"/>
      <c r="E11" s="19"/>
      <c r="F11" s="22" t="e">
        <f>JUNE!#REF!</f>
        <v>#REF!</v>
      </c>
      <c r="G11" s="23" t="e">
        <f t="shared" ref="G11:G31" si="0">D11+E11+F11</f>
        <v>#REF!</v>
      </c>
      <c r="H11" s="24"/>
      <c r="I11" s="25"/>
      <c r="J11" s="26" t="s">
        <v>166</v>
      </c>
      <c r="K11" s="7" t="e">
        <f t="shared" ref="K11:K12" si="1">G11-H11</f>
        <v>#REF!</v>
      </c>
      <c r="L11" s="7"/>
      <c r="M11" s="7"/>
    </row>
    <row r="12" s="1" customFormat="1" spans="1:13">
      <c r="A12" s="3">
        <v>1</v>
      </c>
      <c r="B12" s="3" t="s">
        <v>30</v>
      </c>
      <c r="C12" s="3"/>
      <c r="D12" s="27"/>
      <c r="E12" s="28"/>
      <c r="F12" s="22">
        <f>JUNE!K10</f>
        <v>0</v>
      </c>
      <c r="G12" s="23">
        <f t="shared" si="0"/>
        <v>0</v>
      </c>
      <c r="H12" s="29"/>
      <c r="I12" s="30"/>
      <c r="J12" s="26" t="s">
        <v>166</v>
      </c>
      <c r="K12" s="31">
        <f t="shared" si="1"/>
        <v>0</v>
      </c>
      <c r="L12" s="31"/>
      <c r="M12" s="31" t="s">
        <v>116</v>
      </c>
    </row>
    <row r="13" spans="1:13">
      <c r="A13" s="21">
        <v>2</v>
      </c>
      <c r="B13" s="3" t="s">
        <v>167</v>
      </c>
      <c r="C13" s="32"/>
      <c r="D13" s="28"/>
      <c r="E13" s="28">
        <v>2500</v>
      </c>
      <c r="F13" s="22">
        <f>JUNE!K11</f>
        <v>0</v>
      </c>
      <c r="G13" s="23">
        <f t="shared" si="0"/>
        <v>2500</v>
      </c>
      <c r="H13" s="29">
        <f>1500+1000</f>
        <v>2500</v>
      </c>
      <c r="I13" s="59" t="s">
        <v>168</v>
      </c>
      <c r="J13" s="26" t="s">
        <v>166</v>
      </c>
      <c r="K13" s="31">
        <f t="shared" ref="K13:K31" si="2">G13-H13</f>
        <v>0</v>
      </c>
      <c r="L13" s="34"/>
      <c r="M13" s="35"/>
    </row>
    <row r="14" spans="1:13">
      <c r="A14" s="21">
        <v>3</v>
      </c>
      <c r="B14" s="3" t="s">
        <v>93</v>
      </c>
      <c r="C14" s="82" t="s">
        <v>169</v>
      </c>
      <c r="D14" s="28"/>
      <c r="E14" s="28">
        <v>2500</v>
      </c>
      <c r="F14" s="22">
        <f>JUNE!K12</f>
        <v>200</v>
      </c>
      <c r="G14" s="23">
        <f t="shared" si="0"/>
        <v>2700</v>
      </c>
      <c r="H14" s="36">
        <f>2500</f>
        <v>2500</v>
      </c>
      <c r="I14" s="59" t="s">
        <v>170</v>
      </c>
      <c r="J14" s="26" t="s">
        <v>166</v>
      </c>
      <c r="K14" s="31">
        <f t="shared" si="2"/>
        <v>200</v>
      </c>
      <c r="L14" s="34"/>
      <c r="M14" s="35" t="s">
        <v>116</v>
      </c>
    </row>
    <row r="15" spans="1:13">
      <c r="A15" s="21">
        <v>4</v>
      </c>
      <c r="B15" s="3" t="s">
        <v>119</v>
      </c>
      <c r="C15" s="82" t="s">
        <v>120</v>
      </c>
      <c r="D15" s="28"/>
      <c r="E15" s="28">
        <v>2500</v>
      </c>
      <c r="F15" s="22">
        <f>JUNE!K13</f>
        <v>-1500</v>
      </c>
      <c r="G15" s="23">
        <f t="shared" si="0"/>
        <v>1000</v>
      </c>
      <c r="H15" s="36"/>
      <c r="I15" s="33"/>
      <c r="J15" s="26" t="s">
        <v>166</v>
      </c>
      <c r="K15" s="31">
        <f t="shared" si="2"/>
        <v>1000</v>
      </c>
      <c r="L15" s="34"/>
      <c r="M15" s="35"/>
    </row>
    <row r="16" spans="1:13">
      <c r="A16" s="21">
        <v>5</v>
      </c>
      <c r="B16" s="3" t="s">
        <v>31</v>
      </c>
      <c r="C16" s="32"/>
      <c r="D16" s="28"/>
      <c r="E16" s="28">
        <v>2500</v>
      </c>
      <c r="F16" s="22">
        <f>JUNE!K14</f>
        <v>0</v>
      </c>
      <c r="G16" s="23">
        <f t="shared" si="0"/>
        <v>2500</v>
      </c>
      <c r="H16" s="36">
        <f>2500</f>
        <v>2500</v>
      </c>
      <c r="I16" s="59" t="s">
        <v>171</v>
      </c>
      <c r="J16" s="26" t="s">
        <v>166</v>
      </c>
      <c r="K16" s="31">
        <f t="shared" si="2"/>
        <v>0</v>
      </c>
      <c r="L16" s="34"/>
      <c r="M16" s="35" t="s">
        <v>116</v>
      </c>
    </row>
    <row r="17" spans="1:15">
      <c r="A17" s="21">
        <v>6</v>
      </c>
      <c r="B17" s="3" t="s">
        <v>123</v>
      </c>
      <c r="C17" s="32"/>
      <c r="D17" s="28"/>
      <c r="E17" s="28">
        <v>2500</v>
      </c>
      <c r="F17" s="22">
        <f>JUNE!K15</f>
        <v>0</v>
      </c>
      <c r="G17" s="23">
        <f t="shared" si="0"/>
        <v>2500</v>
      </c>
      <c r="H17" s="36">
        <f>2300+200</f>
        <v>2500</v>
      </c>
      <c r="I17" s="59" t="s">
        <v>172</v>
      </c>
      <c r="J17" s="26" t="s">
        <v>166</v>
      </c>
      <c r="K17" s="31">
        <f t="shared" si="2"/>
        <v>0</v>
      </c>
      <c r="L17" s="34"/>
      <c r="M17" s="35" t="s">
        <v>116</v>
      </c>
    </row>
    <row r="18" spans="1:15">
      <c r="A18" s="21">
        <v>7</v>
      </c>
      <c r="B18" s="3" t="s">
        <v>125</v>
      </c>
      <c r="C18" s="82" t="s">
        <v>35</v>
      </c>
      <c r="D18" s="28"/>
      <c r="E18" s="28">
        <v>2500</v>
      </c>
      <c r="F18" s="22">
        <f>JUNE!K16</f>
        <v>400</v>
      </c>
      <c r="G18" s="23">
        <f t="shared" si="0"/>
        <v>2900</v>
      </c>
      <c r="H18" s="36">
        <f>2500</f>
        <v>2500</v>
      </c>
      <c r="I18" s="59" t="s">
        <v>173</v>
      </c>
      <c r="J18" s="26" t="s">
        <v>166</v>
      </c>
      <c r="K18" s="31">
        <f t="shared" si="2"/>
        <v>400</v>
      </c>
      <c r="L18" s="34"/>
      <c r="M18" s="35" t="s">
        <v>116</v>
      </c>
      <c r="O18" t="s">
        <v>37</v>
      </c>
    </row>
    <row r="19" spans="1:15">
      <c r="A19" s="21">
        <v>8</v>
      </c>
      <c r="B19" s="3" t="s">
        <v>174</v>
      </c>
      <c r="C19" s="32"/>
      <c r="D19" s="28"/>
      <c r="E19" s="28">
        <v>2500</v>
      </c>
      <c r="F19" s="22">
        <v>0</v>
      </c>
      <c r="G19" s="23">
        <f t="shared" si="0"/>
        <v>2500</v>
      </c>
      <c r="H19" s="29">
        <f>1500+1000</f>
        <v>2500</v>
      </c>
      <c r="I19" s="59" t="s">
        <v>175</v>
      </c>
      <c r="J19" s="26" t="s">
        <v>166</v>
      </c>
      <c r="K19" s="31">
        <f t="shared" si="2"/>
        <v>0</v>
      </c>
      <c r="L19" s="34"/>
      <c r="M19" s="35"/>
    </row>
    <row r="20" spans="1:15">
      <c r="A20" s="21">
        <v>9</v>
      </c>
      <c r="B20" s="3" t="s">
        <v>176</v>
      </c>
      <c r="C20" s="32"/>
      <c r="D20" s="28"/>
      <c r="E20" s="28">
        <v>2500</v>
      </c>
      <c r="F20" s="22">
        <f>JUNE!K18</f>
        <v>0</v>
      </c>
      <c r="G20" s="23">
        <f t="shared" si="0"/>
        <v>2500</v>
      </c>
      <c r="H20" s="29">
        <f>850+500+1150</f>
        <v>2500</v>
      </c>
      <c r="I20" s="59" t="s">
        <v>177</v>
      </c>
      <c r="J20" s="26" t="s">
        <v>166</v>
      </c>
      <c r="K20" s="31">
        <f t="shared" si="2"/>
        <v>0</v>
      </c>
      <c r="L20" s="34"/>
      <c r="M20" s="35"/>
    </row>
    <row r="21" spans="1:15">
      <c r="A21" s="21">
        <v>10</v>
      </c>
      <c r="B21" s="3" t="s">
        <v>85</v>
      </c>
      <c r="C21" s="32"/>
      <c r="D21" s="28"/>
      <c r="E21" s="28">
        <v>2500</v>
      </c>
      <c r="F21" s="22">
        <f>JUNE!K19</f>
        <v>1800</v>
      </c>
      <c r="G21" s="23">
        <f t="shared" si="0"/>
        <v>4300</v>
      </c>
      <c r="H21" s="29"/>
      <c r="I21" s="33"/>
      <c r="J21" s="26" t="s">
        <v>166</v>
      </c>
      <c r="K21" s="31">
        <f t="shared" si="2"/>
        <v>4300</v>
      </c>
      <c r="L21" s="34" t="s">
        <v>178</v>
      </c>
      <c r="M21" s="35" t="s">
        <v>116</v>
      </c>
    </row>
    <row r="22" spans="1:15">
      <c r="A22" s="21">
        <v>11</v>
      </c>
      <c r="B22" s="3" t="s">
        <v>40</v>
      </c>
      <c r="C22" s="82" t="s">
        <v>41</v>
      </c>
      <c r="D22" s="28"/>
      <c r="E22" s="28">
        <v>2200</v>
      </c>
      <c r="F22" s="22">
        <f>JUNE!K20</f>
        <v>0</v>
      </c>
      <c r="G22" s="23">
        <f t="shared" si="0"/>
        <v>2200</v>
      </c>
      <c r="H22" s="36">
        <f>2200</f>
        <v>2200</v>
      </c>
      <c r="I22" s="59" t="s">
        <v>179</v>
      </c>
      <c r="J22" s="26" t="s">
        <v>166</v>
      </c>
      <c r="K22" s="31">
        <f t="shared" si="2"/>
        <v>0</v>
      </c>
      <c r="L22" s="34"/>
      <c r="M22" s="35" t="s">
        <v>116</v>
      </c>
    </row>
    <row r="23" spans="1:15">
      <c r="A23" s="21">
        <v>12</v>
      </c>
      <c r="B23" s="3" t="s">
        <v>180</v>
      </c>
      <c r="C23" s="32"/>
      <c r="D23" s="28"/>
      <c r="E23" s="28">
        <v>2500</v>
      </c>
      <c r="F23" s="22">
        <f>JUNE!K21</f>
        <v>2500</v>
      </c>
      <c r="G23" s="23">
        <f t="shared" si="0"/>
        <v>5000</v>
      </c>
      <c r="H23" s="29">
        <f>2000+500+2500</f>
        <v>5000</v>
      </c>
      <c r="I23" s="59" t="s">
        <v>181</v>
      </c>
      <c r="J23" s="26" t="s">
        <v>166</v>
      </c>
      <c r="K23" s="31">
        <f t="shared" si="2"/>
        <v>0</v>
      </c>
      <c r="L23" s="34" t="s">
        <v>80</v>
      </c>
      <c r="M23" s="35"/>
    </row>
    <row r="24" spans="1:15">
      <c r="A24" s="21">
        <v>13</v>
      </c>
      <c r="B24" s="3" t="s">
        <v>46</v>
      </c>
      <c r="C24" s="82" t="s">
        <v>47</v>
      </c>
      <c r="D24" s="28"/>
      <c r="E24" s="28">
        <v>2500</v>
      </c>
      <c r="F24" s="22">
        <f>JUNE!K22</f>
        <v>3000</v>
      </c>
      <c r="G24" s="23">
        <f t="shared" si="0"/>
        <v>5500</v>
      </c>
      <c r="H24" s="29">
        <f>4500</f>
        <v>4500</v>
      </c>
      <c r="I24" s="33" t="s">
        <v>66</v>
      </c>
      <c r="J24" s="26" t="s">
        <v>166</v>
      </c>
      <c r="K24" s="31">
        <f t="shared" si="2"/>
        <v>1000</v>
      </c>
      <c r="L24" s="34" t="s">
        <v>88</v>
      </c>
      <c r="M24" s="35"/>
    </row>
    <row r="25" spans="1:15">
      <c r="A25" s="21">
        <v>14</v>
      </c>
      <c r="B25" s="3" t="s">
        <v>132</v>
      </c>
      <c r="C25" s="32"/>
      <c r="D25" s="28"/>
      <c r="E25" s="28">
        <v>2500</v>
      </c>
      <c r="F25" s="22">
        <f>JUNE!K23</f>
        <v>0</v>
      </c>
      <c r="G25" s="23">
        <f t="shared" si="0"/>
        <v>2500</v>
      </c>
      <c r="H25" s="29">
        <f>2500</f>
        <v>2500</v>
      </c>
      <c r="I25" s="59" t="s">
        <v>182</v>
      </c>
      <c r="J25" s="26" t="s">
        <v>166</v>
      </c>
      <c r="K25" s="31">
        <f t="shared" si="2"/>
        <v>0</v>
      </c>
      <c r="L25" s="34"/>
      <c r="M25" s="35"/>
    </row>
    <row r="26" spans="1:15">
      <c r="A26" s="21">
        <v>15</v>
      </c>
      <c r="B26" s="3" t="s">
        <v>183</v>
      </c>
      <c r="C26" s="82" t="s">
        <v>184</v>
      </c>
      <c r="D26" s="28"/>
      <c r="E26" s="28">
        <v>2500</v>
      </c>
      <c r="F26" s="22">
        <f>JUNE!K24</f>
        <v>0</v>
      </c>
      <c r="G26" s="23">
        <f t="shared" si="0"/>
        <v>2500</v>
      </c>
      <c r="H26" s="29">
        <f>2400+100</f>
        <v>2500</v>
      </c>
      <c r="I26" s="59" t="s">
        <v>185</v>
      </c>
      <c r="J26" s="26" t="s">
        <v>166</v>
      </c>
      <c r="K26" s="31">
        <f t="shared" si="2"/>
        <v>0</v>
      </c>
      <c r="L26" s="34"/>
      <c r="M26" s="35" t="s">
        <v>116</v>
      </c>
    </row>
    <row r="27" spans="1:15">
      <c r="A27" s="84" t="s">
        <v>51</v>
      </c>
      <c r="B27" s="3" t="s">
        <v>52</v>
      </c>
      <c r="C27" s="82" t="s">
        <v>53</v>
      </c>
      <c r="D27" s="28"/>
      <c r="E27" s="28">
        <v>3000</v>
      </c>
      <c r="F27" s="22">
        <f>JUNE!K25</f>
        <v>0</v>
      </c>
      <c r="G27" s="23">
        <f t="shared" si="0"/>
        <v>3000</v>
      </c>
      <c r="H27" s="36">
        <f>3000</f>
        <v>3000</v>
      </c>
      <c r="I27" s="59" t="s">
        <v>186</v>
      </c>
      <c r="J27" s="26" t="s">
        <v>166</v>
      </c>
      <c r="K27" s="31">
        <f t="shared" si="2"/>
        <v>0</v>
      </c>
      <c r="L27" s="34"/>
      <c r="M27" s="35" t="s">
        <v>55</v>
      </c>
    </row>
    <row r="28" spans="1:15">
      <c r="A28" s="21">
        <v>17</v>
      </c>
      <c r="B28" s="3" t="s">
        <v>21</v>
      </c>
      <c r="C28" s="32"/>
      <c r="D28" s="28"/>
      <c r="E28" s="28"/>
      <c r="F28" s="22">
        <f>JUNE!K26</f>
        <v>0</v>
      </c>
      <c r="G28" s="23">
        <f t="shared" si="0"/>
        <v>0</v>
      </c>
      <c r="H28" s="29"/>
      <c r="I28" s="33"/>
      <c r="J28" s="26" t="s">
        <v>166</v>
      </c>
      <c r="K28" s="31">
        <f t="shared" si="2"/>
        <v>0</v>
      </c>
      <c r="L28" s="34"/>
      <c r="M28" s="35"/>
    </row>
    <row r="29" spans="1:15">
      <c r="A29" s="21">
        <v>18</v>
      </c>
      <c r="B29" s="3" t="s">
        <v>39</v>
      </c>
      <c r="C29" s="32"/>
      <c r="D29" s="28"/>
      <c r="E29" s="28">
        <v>2500</v>
      </c>
      <c r="F29" s="22">
        <f>JUNE!K27</f>
        <v>0</v>
      </c>
      <c r="G29" s="23">
        <f t="shared" si="0"/>
        <v>2500</v>
      </c>
      <c r="H29" s="29">
        <v>2500</v>
      </c>
      <c r="I29" s="33" t="s">
        <v>66</v>
      </c>
      <c r="J29" s="26" t="s">
        <v>166</v>
      </c>
      <c r="K29" s="31">
        <f t="shared" si="2"/>
        <v>0</v>
      </c>
      <c r="L29" s="34"/>
      <c r="M29" s="35"/>
    </row>
    <row r="30" spans="1:15">
      <c r="A30" s="21">
        <v>19</v>
      </c>
      <c r="B30" s="3" t="s">
        <v>30</v>
      </c>
      <c r="C30" s="32"/>
      <c r="D30" s="28"/>
      <c r="E30" s="28"/>
      <c r="F30" s="22"/>
      <c r="G30" s="23">
        <f t="shared" si="0"/>
        <v>0</v>
      </c>
      <c r="H30" s="36"/>
      <c r="I30" s="30"/>
      <c r="J30" s="26" t="s">
        <v>166</v>
      </c>
      <c r="K30" s="31">
        <f t="shared" si="2"/>
        <v>0</v>
      </c>
      <c r="L30" s="34" t="s">
        <v>110</v>
      </c>
      <c r="M30" s="35"/>
    </row>
    <row r="31" spans="1:15">
      <c r="A31" s="21">
        <v>21</v>
      </c>
      <c r="B31" s="39" t="s">
        <v>59</v>
      </c>
      <c r="C31" s="82" t="s">
        <v>60</v>
      </c>
      <c r="D31" s="28"/>
      <c r="E31" s="28">
        <v>2500</v>
      </c>
      <c r="F31" s="22">
        <f>JUNE!K29</f>
        <v>0</v>
      </c>
      <c r="G31" s="23">
        <f t="shared" si="0"/>
        <v>2500</v>
      </c>
      <c r="H31" s="29">
        <f>2500</f>
        <v>2500</v>
      </c>
      <c r="I31" s="62" t="s">
        <v>187</v>
      </c>
      <c r="J31" s="26" t="s">
        <v>166</v>
      </c>
      <c r="K31" s="31">
        <f t="shared" si="2"/>
        <v>0</v>
      </c>
      <c r="L31" s="34"/>
      <c r="M31" s="35"/>
    </row>
    <row r="32" spans="1:15">
      <c r="A32" s="2"/>
      <c r="B32" s="39"/>
      <c r="C32" s="32"/>
      <c r="D32" s="40">
        <f>SUM(D13:D30)</f>
        <v>0</v>
      </c>
      <c r="E32" s="40">
        <f>SUM(E10:E31)</f>
        <v>42700</v>
      </c>
      <c r="F32" s="40" t="e">
        <f>SUM(F10:F31)</f>
        <v>#REF!</v>
      </c>
      <c r="G32" s="40" t="e">
        <f>SUM(G10:G31)</f>
        <v>#REF!</v>
      </c>
      <c r="H32" s="40">
        <f>SUM(H10:H31)</f>
        <v>42200</v>
      </c>
      <c r="I32" s="40"/>
      <c r="J32" s="40">
        <f>SUM(J13:J30)</f>
        <v>0</v>
      </c>
      <c r="K32" s="40" t="e">
        <f>SUM(K10:K31)</f>
        <v>#REF!</v>
      </c>
      <c r="L32" s="41"/>
      <c r="M32" s="41"/>
    </row>
    <row r="33" spans="1:13">
      <c r="A33" s="42" t="s">
        <v>62</v>
      </c>
      <c r="B33" s="3"/>
      <c r="C33" s="32"/>
      <c r="D33" s="43"/>
      <c r="E33" s="44"/>
      <c r="F33" s="45"/>
      <c r="G33" s="44"/>
      <c r="H33" s="44"/>
      <c r="I33" s="2"/>
      <c r="J33" s="2"/>
      <c r="K33" s="44"/>
      <c r="L33" s="44"/>
      <c r="M33" s="44"/>
    </row>
    <row r="34" spans="1:13">
      <c r="A34" s="46" t="s">
        <v>63</v>
      </c>
      <c r="B34" s="3"/>
      <c r="C34" s="32"/>
      <c r="D34" s="43"/>
      <c r="E34" s="44"/>
      <c r="F34" s="45"/>
      <c r="G34" s="44"/>
      <c r="H34" s="44"/>
      <c r="I34" s="2"/>
      <c r="J34" s="2"/>
      <c r="K34" s="44"/>
      <c r="L34" s="44"/>
      <c r="M34" s="44"/>
    </row>
    <row r="35" spans="1:13">
      <c r="A35" s="3" t="s">
        <v>64</v>
      </c>
      <c r="B35" s="3"/>
      <c r="C35" s="32"/>
      <c r="D35" s="3"/>
      <c r="E35" s="3"/>
      <c r="F35" s="16"/>
      <c r="G35" s="3"/>
      <c r="H35" s="47">
        <f>H32*10%</f>
        <v>4220</v>
      </c>
      <c r="I35" s="3"/>
      <c r="J35" s="3"/>
      <c r="K35" s="3"/>
      <c r="L35" s="13"/>
      <c r="M35" s="3"/>
    </row>
    <row r="36" spans="1:13">
      <c r="A36" s="3" t="s">
        <v>151</v>
      </c>
      <c r="B36" s="3"/>
      <c r="C36" s="32"/>
      <c r="D36" s="3"/>
      <c r="E36" s="3"/>
      <c r="F36" s="16"/>
      <c r="G36" s="3"/>
      <c r="H36" s="47">
        <v>2250</v>
      </c>
      <c r="I36" s="3"/>
      <c r="J36" s="3"/>
      <c r="K36" s="3"/>
      <c r="L36" s="13"/>
      <c r="M36" s="3"/>
    </row>
    <row r="37" spans="1:13">
      <c r="A37" s="3" t="s">
        <v>66</v>
      </c>
      <c r="B37" s="3"/>
      <c r="C37" s="32"/>
      <c r="D37" s="3"/>
      <c r="E37" s="3"/>
      <c r="F37" s="16"/>
      <c r="G37" s="3"/>
      <c r="H37" s="47">
        <f>H29+H24+1000+2500</f>
        <v>10500</v>
      </c>
      <c r="I37" s="3"/>
      <c r="J37" s="3"/>
      <c r="K37" s="3"/>
      <c r="L37" s="13"/>
      <c r="M37" s="3"/>
    </row>
    <row r="38" spans="1:13">
      <c r="A38" s="13" t="s">
        <v>67</v>
      </c>
      <c r="B38" s="13"/>
      <c r="C38" s="13"/>
      <c r="D38" s="13"/>
      <c r="E38" s="13"/>
      <c r="F38" s="48"/>
      <c r="G38" s="13"/>
      <c r="H38" s="49">
        <f>SUM(H35:H37)</f>
        <v>16970</v>
      </c>
      <c r="I38" s="13"/>
      <c r="J38" s="3"/>
      <c r="K38" s="13"/>
      <c r="L38" s="13"/>
      <c r="M38" s="13"/>
    </row>
    <row r="39" spans="1:13">
      <c r="A39" s="3" t="s">
        <v>68</v>
      </c>
      <c r="B39" s="3"/>
      <c r="C39" s="3"/>
      <c r="D39" s="3"/>
      <c r="E39" s="3"/>
      <c r="F39" s="16"/>
      <c r="G39" s="3"/>
      <c r="H39" s="50">
        <f>JUNE!K38</f>
        <v>0</v>
      </c>
      <c r="I39" s="51" t="s">
        <v>69</v>
      </c>
      <c r="J39" s="51" t="s">
        <v>70</v>
      </c>
      <c r="K39" s="51" t="s">
        <v>71</v>
      </c>
      <c r="L39" s="52"/>
      <c r="M39" s="52"/>
    </row>
    <row r="40" ht="15.75" spans="1:13">
      <c r="A40" s="2" t="s">
        <v>72</v>
      </c>
      <c r="B40" s="2"/>
      <c r="C40" s="2"/>
      <c r="D40" s="2"/>
      <c r="E40" s="2"/>
      <c r="F40" s="45"/>
      <c r="G40" s="13"/>
      <c r="H40" s="53">
        <f>H32-H38+H39</f>
        <v>25230</v>
      </c>
      <c r="I40" s="48">
        <v>20000</v>
      </c>
      <c r="J40" s="48">
        <v>7480</v>
      </c>
      <c r="K40" s="54">
        <f>H40-I40-J40</f>
        <v>-2250</v>
      </c>
      <c r="L40" s="52"/>
      <c r="M40" s="52"/>
    </row>
    <row r="41" ht="15.75" spans="1:13">
      <c r="A41" s="3" t="s">
        <v>73</v>
      </c>
      <c r="B41" s="3"/>
      <c r="C41" s="3"/>
      <c r="D41" s="3"/>
      <c r="E41" s="3"/>
      <c r="F41" s="16"/>
      <c r="G41" s="3"/>
      <c r="H41" s="3"/>
      <c r="I41" s="3"/>
      <c r="J41" s="3"/>
      <c r="K41" s="55">
        <v>46234</v>
      </c>
      <c r="L41" s="56"/>
      <c r="M41" s="55"/>
    </row>
    <row r="42" spans="1:13">
      <c r="H42" s="57"/>
    </row>
    <row r="45" spans="1:13">
      <c r="H45" t="e">
        <f>H32/G32*100</f>
        <v>#REF!</v>
      </c>
    </row>
    <row r="46" spans="1:13">
      <c r="I46">
        <f>6658-3980</f>
        <v>2678</v>
      </c>
    </row>
    <row r="50" spans="8:17">
      <c r="Q50" t="s">
        <v>74</v>
      </c>
    </row>
    <row r="51" spans="8:17">
      <c r="H51" t="s">
        <v>75</v>
      </c>
      <c r="I51" s="57" t="e">
        <f>H13+#REF!+H14+H18+H22+H25+H26+H27+H30+#REF!+4700</f>
        <v>#REF!</v>
      </c>
    </row>
    <row r="52" spans="8:17">
      <c r="H52" t="s">
        <v>76</v>
      </c>
      <c r="I52" s="57">
        <f>H15+300</f>
        <v>300</v>
      </c>
    </row>
  </sheetData>
  <mergeCells count="1">
    <mergeCell ref="A3:K3"/>
  </mergeCells>
  <pageMargins left="0.25" right="0.25" top="0.75" bottom="0.75" header="0.3" footer="0.3"/>
  <pageSetup paperSize="1" scale="63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52"/>
  <sheetViews>
    <sheetView zoomScale="95" zoomScaleNormal="95" topLeftCell="A8" workbookViewId="0">
      <selection activeCell="H36" sqref="H36"/>
    </sheetView>
  </sheetViews>
  <sheetFormatPr defaultColWidth="9" defaultRowHeight="15"/>
  <cols>
    <col min="2" max="2" width="19.1047619047619" customWidth="1"/>
    <col min="3" max="3" width="20.4380952380952" customWidth="1"/>
    <col min="4" max="4" width="9.66666666666667" customWidth="1"/>
    <col min="5" max="5" width="12.2190476190476" customWidth="1"/>
    <col min="6" max="6" width="8.43809523809524" customWidth="1"/>
    <col min="7" max="7" width="9.55238095238095" customWidth="1"/>
    <col min="8" max="8" width="10.2190476190476" customWidth="1"/>
    <col min="9" max="9" width="30.2190476190476" customWidth="1"/>
    <col min="10" max="10" width="9.55238095238095" customWidth="1"/>
    <col min="11" max="11" width="9.43809523809524" customWidth="1"/>
    <col min="12" max="12" width="10.1047619047619" customWidth="1"/>
    <col min="13" max="13" width="16.6666666666667" customWidth="1"/>
  </cols>
  <sheetData>
    <row r="1" spans="1:13">
      <c r="A1" s="2"/>
      <c r="B1" s="3"/>
      <c r="C1" s="4" t="s">
        <v>0</v>
      </c>
      <c r="D1" s="5"/>
      <c r="E1" s="3"/>
      <c r="F1" s="6"/>
      <c r="G1" s="7"/>
      <c r="H1" s="7"/>
      <c r="I1" s="8"/>
      <c r="J1" s="8"/>
      <c r="K1" s="9"/>
      <c r="L1" s="9"/>
      <c r="M1" s="9"/>
    </row>
    <row r="2" spans="1:13">
      <c r="A2" s="2" t="s">
        <v>1</v>
      </c>
      <c r="B2" s="2"/>
      <c r="C2" s="2"/>
      <c r="D2" s="2"/>
      <c r="E2" s="7"/>
      <c r="F2" s="6"/>
      <c r="G2" s="7"/>
      <c r="H2" s="7"/>
      <c r="I2" s="8"/>
      <c r="J2" s="8"/>
      <c r="K2" s="9"/>
      <c r="L2" s="9"/>
      <c r="M2" s="9"/>
    </row>
    <row r="3" spans="1:13">
      <c r="A3" s="10">
        <v>46265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2"/>
      <c r="M3" s="2"/>
    </row>
    <row r="4" spans="1:13">
      <c r="A4" s="2"/>
      <c r="B4" s="2"/>
      <c r="C4" s="2"/>
      <c r="D4" s="7"/>
      <c r="E4" s="7"/>
      <c r="F4" s="6"/>
      <c r="G4" s="7"/>
      <c r="H4" s="7"/>
      <c r="I4" s="8" t="s">
        <v>2</v>
      </c>
      <c r="J4" s="8"/>
      <c r="K4" s="12"/>
      <c r="L4" s="12"/>
      <c r="M4" s="12"/>
    </row>
    <row r="5" spans="1:13">
      <c r="A5" s="13"/>
      <c r="B5" s="13"/>
      <c r="C5" s="13"/>
      <c r="D5" s="12"/>
      <c r="E5" s="12"/>
      <c r="F5" s="14"/>
      <c r="G5" s="12"/>
      <c r="H5" s="12"/>
      <c r="I5" s="15" t="s">
        <v>3</v>
      </c>
      <c r="J5" s="15"/>
      <c r="K5" s="12"/>
      <c r="L5" s="12"/>
      <c r="M5" s="12"/>
    </row>
    <row r="6" spans="1:13">
      <c r="A6" s="13" t="s">
        <v>4</v>
      </c>
      <c r="B6" s="13"/>
      <c r="C6" s="13"/>
      <c r="D6" s="3"/>
      <c r="E6" s="3"/>
      <c r="F6" s="16"/>
      <c r="G6" s="3"/>
      <c r="H6" s="12" t="s">
        <v>5</v>
      </c>
      <c r="I6" s="15"/>
      <c r="J6" s="15"/>
      <c r="K6" s="12"/>
      <c r="L6" s="12"/>
      <c r="M6" s="12"/>
    </row>
    <row r="7" spans="1:13">
      <c r="A7" s="13"/>
      <c r="B7" s="13"/>
      <c r="C7" s="13"/>
      <c r="D7" s="3"/>
      <c r="E7" s="3"/>
      <c r="F7" s="16"/>
      <c r="G7" s="3"/>
      <c r="H7" s="12" t="s">
        <v>6</v>
      </c>
      <c r="I7" s="15"/>
      <c r="J7" s="15"/>
      <c r="K7" s="12"/>
      <c r="L7" s="12"/>
      <c r="M7" s="12"/>
    </row>
    <row r="8" spans="1:13">
      <c r="A8" s="13" t="s">
        <v>7</v>
      </c>
      <c r="B8" s="13"/>
      <c r="C8" s="13"/>
      <c r="D8" s="17"/>
      <c r="E8" s="12"/>
      <c r="F8" s="14"/>
      <c r="G8" s="12"/>
      <c r="H8" s="12"/>
      <c r="I8" s="15"/>
      <c r="J8" s="15"/>
      <c r="K8" s="12"/>
      <c r="L8" s="12"/>
      <c r="M8" s="12"/>
    </row>
    <row r="9" ht="22.5" spans="1:13">
      <c r="A9" s="2" t="s">
        <v>8</v>
      </c>
      <c r="B9" s="2" t="s">
        <v>9</v>
      </c>
      <c r="C9" s="2" t="s">
        <v>10</v>
      </c>
      <c r="D9" s="18" t="s">
        <v>11</v>
      </c>
      <c r="E9" s="19" t="s">
        <v>12</v>
      </c>
      <c r="F9" s="6" t="s">
        <v>13</v>
      </c>
      <c r="G9" s="20" t="s">
        <v>14</v>
      </c>
      <c r="H9" s="7" t="s">
        <v>15</v>
      </c>
      <c r="I9" s="2" t="s">
        <v>16</v>
      </c>
      <c r="J9" s="2" t="s">
        <v>17</v>
      </c>
      <c r="K9" s="7" t="s">
        <v>18</v>
      </c>
      <c r="L9" s="7" t="s">
        <v>19</v>
      </c>
      <c r="M9" s="7" t="s">
        <v>20</v>
      </c>
    </row>
    <row r="10" spans="1:13">
      <c r="A10" s="21"/>
      <c r="B10" s="2" t="s">
        <v>21</v>
      </c>
      <c r="C10" s="2"/>
      <c r="D10" s="18"/>
      <c r="E10" s="19"/>
      <c r="F10" s="22" t="e">
        <f>JULY!K10</f>
        <v>#REF!</v>
      </c>
      <c r="G10" s="23" t="e">
        <f>D10+E10+F10</f>
        <v>#REF!</v>
      </c>
      <c r="H10" s="24"/>
      <c r="I10" s="25"/>
      <c r="J10" s="26" t="s">
        <v>188</v>
      </c>
      <c r="K10" s="7" t="e">
        <f>G10-H10</f>
        <v>#REF!</v>
      </c>
      <c r="L10" s="7"/>
      <c r="M10" s="7"/>
    </row>
    <row r="11" spans="1:13">
      <c r="A11" s="21"/>
      <c r="B11" s="2" t="s">
        <v>21</v>
      </c>
      <c r="C11" s="2"/>
      <c r="D11" s="18"/>
      <c r="E11" s="19"/>
      <c r="F11" s="22" t="e">
        <f>JULY!K11</f>
        <v>#REF!</v>
      </c>
      <c r="G11" s="23" t="e">
        <f t="shared" ref="G11:G31" si="0">D11+E11+F11</f>
        <v>#REF!</v>
      </c>
      <c r="H11" s="24"/>
      <c r="I11" s="25"/>
      <c r="J11" s="26" t="s">
        <v>188</v>
      </c>
      <c r="K11" s="7" t="e">
        <f t="shared" ref="K11:K12" si="1">G11-H11</f>
        <v>#REF!</v>
      </c>
      <c r="L11" s="7"/>
      <c r="M11" s="7"/>
    </row>
    <row r="12" s="1" customFormat="1" spans="1:13">
      <c r="A12" s="3">
        <v>1</v>
      </c>
      <c r="B12" s="3" t="s">
        <v>30</v>
      </c>
      <c r="C12" s="3"/>
      <c r="D12" s="27"/>
      <c r="E12" s="28"/>
      <c r="F12" s="22">
        <f>JULY!K12</f>
        <v>0</v>
      </c>
      <c r="G12" s="23">
        <f t="shared" si="0"/>
        <v>0</v>
      </c>
      <c r="H12" s="29"/>
      <c r="I12" s="30"/>
      <c r="J12" s="26" t="s">
        <v>188</v>
      </c>
      <c r="K12" s="31">
        <f t="shared" si="1"/>
        <v>0</v>
      </c>
      <c r="L12" s="31"/>
      <c r="M12" s="31" t="s">
        <v>116</v>
      </c>
    </row>
    <row r="13" spans="1:13">
      <c r="A13" s="21">
        <v>2</v>
      </c>
      <c r="B13" s="3" t="s">
        <v>167</v>
      </c>
      <c r="C13" s="32"/>
      <c r="D13" s="28"/>
      <c r="E13" s="28">
        <v>2500</v>
      </c>
      <c r="F13" s="22">
        <f>JULY!K13</f>
        <v>0</v>
      </c>
      <c r="G13" s="23">
        <f t="shared" si="0"/>
        <v>2500</v>
      </c>
      <c r="H13" s="29">
        <f>2000</f>
        <v>2000</v>
      </c>
      <c r="I13" s="59" t="s">
        <v>189</v>
      </c>
      <c r="J13" s="26" t="s">
        <v>188</v>
      </c>
      <c r="K13" s="31">
        <f t="shared" ref="K13:K31" si="2">G13-H13</f>
        <v>500</v>
      </c>
      <c r="L13" s="34"/>
      <c r="M13" s="35"/>
    </row>
    <row r="14" spans="1:13">
      <c r="A14" s="21">
        <v>3</v>
      </c>
      <c r="B14" s="3" t="s">
        <v>93</v>
      </c>
      <c r="C14" s="82" t="s">
        <v>169</v>
      </c>
      <c r="D14" s="28"/>
      <c r="E14" s="28">
        <v>2500</v>
      </c>
      <c r="F14" s="22">
        <f>JULY!K14</f>
        <v>200</v>
      </c>
      <c r="G14" s="23">
        <f t="shared" si="0"/>
        <v>2700</v>
      </c>
      <c r="H14" s="36"/>
      <c r="I14" s="33"/>
      <c r="J14" s="26" t="s">
        <v>188</v>
      </c>
      <c r="K14" s="31">
        <f t="shared" si="2"/>
        <v>2700</v>
      </c>
      <c r="L14" s="34" t="s">
        <v>80</v>
      </c>
      <c r="M14" s="35" t="s">
        <v>116</v>
      </c>
    </row>
    <row r="15" spans="1:13">
      <c r="A15" s="21">
        <v>4</v>
      </c>
      <c r="B15" s="3" t="s">
        <v>119</v>
      </c>
      <c r="C15" s="82" t="s">
        <v>120</v>
      </c>
      <c r="D15" s="28"/>
      <c r="E15" s="28">
        <v>2500</v>
      </c>
      <c r="F15" s="22">
        <f>JULY!K15</f>
        <v>1000</v>
      </c>
      <c r="G15" s="23">
        <f t="shared" si="0"/>
        <v>3500</v>
      </c>
      <c r="H15" s="36">
        <f>3000</f>
        <v>3000</v>
      </c>
      <c r="I15" s="59" t="s">
        <v>190</v>
      </c>
      <c r="J15" s="26" t="s">
        <v>188</v>
      </c>
      <c r="K15" s="31">
        <f t="shared" si="2"/>
        <v>500</v>
      </c>
      <c r="L15" s="34"/>
      <c r="M15" s="35"/>
    </row>
    <row r="16" spans="1:13">
      <c r="A16" s="21">
        <v>5</v>
      </c>
      <c r="B16" s="3" t="s">
        <v>31</v>
      </c>
      <c r="C16" s="32"/>
      <c r="D16" s="28"/>
      <c r="E16" s="28">
        <v>2500</v>
      </c>
      <c r="F16" s="22">
        <f>JULY!K16</f>
        <v>0</v>
      </c>
      <c r="G16" s="23">
        <f t="shared" si="0"/>
        <v>2500</v>
      </c>
      <c r="H16" s="36">
        <f>2500</f>
        <v>2500</v>
      </c>
      <c r="I16" s="59" t="s">
        <v>191</v>
      </c>
      <c r="J16" s="26" t="s">
        <v>188</v>
      </c>
      <c r="K16" s="31">
        <f t="shared" si="2"/>
        <v>0</v>
      </c>
      <c r="L16" s="34"/>
      <c r="M16" s="35" t="s">
        <v>116</v>
      </c>
    </row>
    <row r="17" spans="1:15">
      <c r="A17" s="21">
        <v>6</v>
      </c>
      <c r="B17" s="3" t="s">
        <v>123</v>
      </c>
      <c r="C17" s="32"/>
      <c r="D17" s="28"/>
      <c r="E17" s="28">
        <v>2500</v>
      </c>
      <c r="F17" s="22">
        <f>JULY!K17</f>
        <v>0</v>
      </c>
      <c r="G17" s="23">
        <f t="shared" si="0"/>
        <v>2500</v>
      </c>
      <c r="H17" s="36">
        <f>2500</f>
        <v>2500</v>
      </c>
      <c r="I17" s="33" t="s">
        <v>24</v>
      </c>
      <c r="J17" s="26" t="s">
        <v>188</v>
      </c>
      <c r="K17" s="31">
        <f t="shared" si="2"/>
        <v>0</v>
      </c>
      <c r="L17" s="34"/>
      <c r="M17" s="35" t="s">
        <v>116</v>
      </c>
    </row>
    <row r="18" spans="1:15">
      <c r="A18" s="21">
        <v>7</v>
      </c>
      <c r="B18" s="3" t="s">
        <v>125</v>
      </c>
      <c r="C18" s="82" t="s">
        <v>35</v>
      </c>
      <c r="D18" s="28"/>
      <c r="E18" s="28">
        <v>2500</v>
      </c>
      <c r="F18" s="22">
        <f>JULY!K18</f>
        <v>400</v>
      </c>
      <c r="G18" s="23">
        <f t="shared" si="0"/>
        <v>2900</v>
      </c>
      <c r="H18" s="36">
        <f>2500</f>
        <v>2500</v>
      </c>
      <c r="I18" s="59" t="s">
        <v>192</v>
      </c>
      <c r="J18" s="26" t="s">
        <v>188</v>
      </c>
      <c r="K18" s="31">
        <f t="shared" si="2"/>
        <v>400</v>
      </c>
      <c r="L18" s="34"/>
      <c r="M18" s="35" t="s">
        <v>116</v>
      </c>
      <c r="O18" t="s">
        <v>37</v>
      </c>
    </row>
    <row r="19" spans="1:15">
      <c r="A19" s="21">
        <v>8</v>
      </c>
      <c r="B19" s="3" t="s">
        <v>174</v>
      </c>
      <c r="C19" s="32"/>
      <c r="D19" s="28"/>
      <c r="E19" s="28">
        <v>2500</v>
      </c>
      <c r="F19" s="22">
        <f>JULY!K19</f>
        <v>0</v>
      </c>
      <c r="G19" s="23">
        <f t="shared" si="0"/>
        <v>2500</v>
      </c>
      <c r="H19" s="29">
        <f>2500</f>
        <v>2500</v>
      </c>
      <c r="I19" s="59" t="s">
        <v>193</v>
      </c>
      <c r="J19" s="26" t="s">
        <v>188</v>
      </c>
      <c r="K19" s="31">
        <f t="shared" si="2"/>
        <v>0</v>
      </c>
      <c r="L19" s="34"/>
      <c r="M19" s="35"/>
    </row>
    <row r="20" spans="1:15">
      <c r="A20" s="21">
        <v>9</v>
      </c>
      <c r="B20" s="3" t="s">
        <v>145</v>
      </c>
      <c r="C20" s="32"/>
      <c r="D20" s="28">
        <v>1000</v>
      </c>
      <c r="E20" s="28">
        <v>2500</v>
      </c>
      <c r="F20" s="22">
        <f>JULY!K20</f>
        <v>0</v>
      </c>
      <c r="G20" s="23">
        <f t="shared" si="0"/>
        <v>3500</v>
      </c>
      <c r="H20" s="29">
        <f>1000</f>
        <v>1000</v>
      </c>
      <c r="I20" s="59" t="s">
        <v>194</v>
      </c>
      <c r="J20" s="26" t="s">
        <v>188</v>
      </c>
      <c r="K20" s="31">
        <f t="shared" si="2"/>
        <v>2500</v>
      </c>
      <c r="L20" s="34" t="s">
        <v>80</v>
      </c>
      <c r="M20" s="35"/>
    </row>
    <row r="21" spans="1:15">
      <c r="A21" s="21">
        <v>10</v>
      </c>
      <c r="B21" s="3" t="s">
        <v>30</v>
      </c>
      <c r="C21" s="32"/>
      <c r="D21" s="28"/>
      <c r="E21" s="28"/>
      <c r="F21" s="22"/>
      <c r="G21" s="23">
        <f t="shared" si="0"/>
        <v>0</v>
      </c>
      <c r="H21" s="29"/>
      <c r="I21" s="33"/>
      <c r="J21" s="26" t="s">
        <v>188</v>
      </c>
      <c r="K21" s="31">
        <f t="shared" si="2"/>
        <v>0</v>
      </c>
      <c r="L21" s="34"/>
      <c r="M21" s="35" t="s">
        <v>116</v>
      </c>
    </row>
    <row r="22" spans="1:15">
      <c r="A22" s="21">
        <v>11</v>
      </c>
      <c r="B22" s="3" t="s">
        <v>40</v>
      </c>
      <c r="C22" s="82" t="s">
        <v>41</v>
      </c>
      <c r="D22" s="28"/>
      <c r="E22" s="28">
        <v>2200</v>
      </c>
      <c r="F22" s="22">
        <f>JULY!K22</f>
        <v>0</v>
      </c>
      <c r="G22" s="23">
        <f t="shared" si="0"/>
        <v>2200</v>
      </c>
      <c r="H22" s="36">
        <f>2200</f>
        <v>2200</v>
      </c>
      <c r="I22" s="59" t="s">
        <v>195</v>
      </c>
      <c r="J22" s="26" t="s">
        <v>188</v>
      </c>
      <c r="K22" s="31">
        <f t="shared" si="2"/>
        <v>0</v>
      </c>
      <c r="L22" s="34"/>
      <c r="M22" s="35" t="s">
        <v>116</v>
      </c>
    </row>
    <row r="23" spans="1:15">
      <c r="A23" s="21">
        <v>12</v>
      </c>
      <c r="B23" s="3" t="s">
        <v>180</v>
      </c>
      <c r="C23" s="32"/>
      <c r="D23" s="28"/>
      <c r="E23" s="28">
        <v>2500</v>
      </c>
      <c r="F23" s="22">
        <f>JULY!K23</f>
        <v>0</v>
      </c>
      <c r="G23" s="23">
        <f t="shared" si="0"/>
        <v>2500</v>
      </c>
      <c r="H23" s="29">
        <f>2500</f>
        <v>2500</v>
      </c>
      <c r="I23" s="33" t="s">
        <v>24</v>
      </c>
      <c r="J23" s="26" t="s">
        <v>188</v>
      </c>
      <c r="K23" s="31">
        <f t="shared" si="2"/>
        <v>0</v>
      </c>
      <c r="L23" s="34"/>
      <c r="M23" s="35"/>
    </row>
    <row r="24" spans="1:15">
      <c r="A24" s="21">
        <v>13</v>
      </c>
      <c r="B24" s="3" t="s">
        <v>46</v>
      </c>
      <c r="C24" s="82" t="s">
        <v>47</v>
      </c>
      <c r="D24" s="28"/>
      <c r="E24" s="28">
        <v>2500</v>
      </c>
      <c r="F24" s="22">
        <f>JULY!K24</f>
        <v>1000</v>
      </c>
      <c r="G24" s="23">
        <f t="shared" si="0"/>
        <v>3500</v>
      </c>
      <c r="H24" s="29">
        <f>1000</f>
        <v>1000</v>
      </c>
      <c r="I24" s="59" t="s">
        <v>196</v>
      </c>
      <c r="J24" s="26" t="s">
        <v>188</v>
      </c>
      <c r="K24" s="31">
        <f t="shared" si="2"/>
        <v>2500</v>
      </c>
      <c r="L24" s="34" t="s">
        <v>80</v>
      </c>
      <c r="M24" s="35"/>
    </row>
    <row r="25" spans="1:15">
      <c r="A25" s="21">
        <v>14</v>
      </c>
      <c r="B25" s="3" t="s">
        <v>132</v>
      </c>
      <c r="C25" s="32"/>
      <c r="D25" s="28"/>
      <c r="E25" s="28">
        <v>2500</v>
      </c>
      <c r="F25" s="22">
        <f>JULY!K25</f>
        <v>0</v>
      </c>
      <c r="G25" s="23">
        <f t="shared" si="0"/>
        <v>2500</v>
      </c>
      <c r="H25" s="29">
        <f>500+2000</f>
        <v>2500</v>
      </c>
      <c r="I25" s="59" t="s">
        <v>197</v>
      </c>
      <c r="J25" s="26" t="s">
        <v>188</v>
      </c>
      <c r="K25" s="31">
        <f t="shared" si="2"/>
        <v>0</v>
      </c>
      <c r="L25" s="34"/>
      <c r="M25" s="35"/>
    </row>
    <row r="26" spans="1:15">
      <c r="A26" s="21">
        <v>15</v>
      </c>
      <c r="B26" s="3" t="s">
        <v>183</v>
      </c>
      <c r="C26" s="82" t="s">
        <v>184</v>
      </c>
      <c r="D26" s="28"/>
      <c r="E26" s="28">
        <v>2500</v>
      </c>
      <c r="F26" s="22">
        <f>JULY!K26</f>
        <v>0</v>
      </c>
      <c r="G26" s="23">
        <f t="shared" si="0"/>
        <v>2500</v>
      </c>
      <c r="H26" s="29">
        <f>2500</f>
        <v>2500</v>
      </c>
      <c r="I26" s="59" t="s">
        <v>198</v>
      </c>
      <c r="J26" s="26" t="s">
        <v>188</v>
      </c>
      <c r="K26" s="31">
        <f t="shared" si="2"/>
        <v>0</v>
      </c>
      <c r="L26" s="34"/>
      <c r="M26" s="35" t="s">
        <v>116</v>
      </c>
    </row>
    <row r="27" spans="1:15">
      <c r="A27" s="84" t="s">
        <v>51</v>
      </c>
      <c r="B27" s="3" t="s">
        <v>52</v>
      </c>
      <c r="C27" s="82" t="s">
        <v>53</v>
      </c>
      <c r="D27" s="28"/>
      <c r="E27" s="28">
        <v>3000</v>
      </c>
      <c r="F27" s="22">
        <f>JULY!K27</f>
        <v>0</v>
      </c>
      <c r="G27" s="23">
        <f t="shared" si="0"/>
        <v>3000</v>
      </c>
      <c r="H27" s="36">
        <f>3000</f>
        <v>3000</v>
      </c>
      <c r="I27" s="59" t="s">
        <v>199</v>
      </c>
      <c r="J27" s="26" t="s">
        <v>188</v>
      </c>
      <c r="K27" s="31">
        <f t="shared" si="2"/>
        <v>0</v>
      </c>
      <c r="L27" s="34"/>
      <c r="M27" s="35" t="s">
        <v>55</v>
      </c>
    </row>
    <row r="28" spans="1:15">
      <c r="A28" s="21">
        <v>17</v>
      </c>
      <c r="B28" s="3" t="s">
        <v>21</v>
      </c>
      <c r="C28" s="32"/>
      <c r="D28" s="28"/>
      <c r="E28" s="28"/>
      <c r="F28" s="22">
        <f>JULY!K28</f>
        <v>0</v>
      </c>
      <c r="G28" s="23">
        <f t="shared" si="0"/>
        <v>0</v>
      </c>
      <c r="H28" s="29"/>
      <c r="I28" s="33"/>
      <c r="J28" s="26" t="s">
        <v>188</v>
      </c>
      <c r="K28" s="31">
        <f t="shared" si="2"/>
        <v>0</v>
      </c>
      <c r="L28" s="34"/>
      <c r="M28" s="35"/>
    </row>
    <row r="29" spans="1:15">
      <c r="A29" s="21">
        <v>18</v>
      </c>
      <c r="B29" s="3" t="s">
        <v>39</v>
      </c>
      <c r="C29" s="32"/>
      <c r="D29" s="28"/>
      <c r="E29" s="28">
        <v>2500</v>
      </c>
      <c r="F29" s="22">
        <f>JULY!K29</f>
        <v>0</v>
      </c>
      <c r="G29" s="23">
        <f t="shared" si="0"/>
        <v>2500</v>
      </c>
      <c r="H29" s="29">
        <f>2500</f>
        <v>2500</v>
      </c>
      <c r="I29" s="33" t="s">
        <v>24</v>
      </c>
      <c r="J29" s="26" t="s">
        <v>188</v>
      </c>
      <c r="K29" s="31">
        <f t="shared" si="2"/>
        <v>0</v>
      </c>
      <c r="L29" s="34"/>
      <c r="M29" s="35"/>
    </row>
    <row r="30" spans="1:15">
      <c r="A30" s="21">
        <v>19</v>
      </c>
      <c r="B30" s="3" t="s">
        <v>30</v>
      </c>
      <c r="C30" s="32"/>
      <c r="D30" s="28"/>
      <c r="E30" s="28"/>
      <c r="F30" s="22">
        <f>JULY!K30</f>
        <v>0</v>
      </c>
      <c r="G30" s="23">
        <f t="shared" si="0"/>
        <v>0</v>
      </c>
      <c r="H30" s="36"/>
      <c r="I30" s="30"/>
      <c r="J30" s="26" t="s">
        <v>188</v>
      </c>
      <c r="K30" s="31">
        <f t="shared" si="2"/>
        <v>0</v>
      </c>
      <c r="L30" s="34"/>
      <c r="M30" s="35"/>
    </row>
    <row r="31" spans="1:15">
      <c r="A31" s="21">
        <v>21</v>
      </c>
      <c r="B31" s="39" t="s">
        <v>59</v>
      </c>
      <c r="C31" s="82" t="s">
        <v>60</v>
      </c>
      <c r="D31" s="28"/>
      <c r="E31" s="28">
        <v>2500</v>
      </c>
      <c r="F31" s="22">
        <f>JULY!K31</f>
        <v>0</v>
      </c>
      <c r="G31" s="23">
        <f t="shared" si="0"/>
        <v>2500</v>
      </c>
      <c r="H31" s="29"/>
      <c r="I31" s="25"/>
      <c r="J31" s="26" t="s">
        <v>188</v>
      </c>
      <c r="K31" s="31">
        <f t="shared" si="2"/>
        <v>2500</v>
      </c>
      <c r="L31" s="34" t="s">
        <v>80</v>
      </c>
      <c r="M31" s="35"/>
    </row>
    <row r="32" spans="1:15">
      <c r="A32" s="2"/>
      <c r="B32" s="39"/>
      <c r="C32" s="32"/>
      <c r="D32" s="40">
        <f>SUM(D13:D30)</f>
        <v>1000</v>
      </c>
      <c r="E32" s="40">
        <f>SUM(E10:E31)</f>
        <v>40200</v>
      </c>
      <c r="F32" s="40" t="e">
        <f>SUM(F10:F31)</f>
        <v>#REF!</v>
      </c>
      <c r="G32" s="40" t="e">
        <f>SUM(G10:G31)</f>
        <v>#REF!</v>
      </c>
      <c r="H32" s="40">
        <f>SUM(H10:H31)</f>
        <v>32200</v>
      </c>
      <c r="I32" s="40"/>
      <c r="J32" s="40">
        <f>SUM(J13:J30)</f>
        <v>0</v>
      </c>
      <c r="K32" s="40" t="e">
        <f>SUM(K10:K31)</f>
        <v>#REF!</v>
      </c>
      <c r="L32" s="41"/>
      <c r="M32" s="41"/>
    </row>
    <row r="33" spans="1:13">
      <c r="A33" s="42" t="s">
        <v>62</v>
      </c>
      <c r="B33" s="3"/>
      <c r="C33" s="32"/>
      <c r="D33" s="43"/>
      <c r="E33" s="44"/>
      <c r="F33" s="45"/>
      <c r="G33" s="44"/>
      <c r="H33" s="44"/>
      <c r="I33" s="2"/>
      <c r="J33" s="2"/>
      <c r="K33" s="44"/>
      <c r="L33" s="44"/>
      <c r="M33" s="44"/>
    </row>
    <row r="34" spans="1:13">
      <c r="A34" s="46" t="s">
        <v>63</v>
      </c>
      <c r="B34" s="3"/>
      <c r="C34" s="32"/>
      <c r="D34" s="43"/>
      <c r="E34" s="44"/>
      <c r="F34" s="45"/>
      <c r="G34" s="44"/>
      <c r="H34" s="44"/>
      <c r="I34" s="2"/>
      <c r="J34" s="2"/>
      <c r="K34" s="44"/>
      <c r="L34" s="44"/>
      <c r="M34" s="44"/>
    </row>
    <row r="35" spans="1:13">
      <c r="A35" s="3" t="s">
        <v>64</v>
      </c>
      <c r="B35" s="3"/>
      <c r="C35" s="32"/>
      <c r="D35" s="3"/>
      <c r="E35" s="3"/>
      <c r="F35" s="16"/>
      <c r="G35" s="3"/>
      <c r="H35" s="47">
        <f>H32*10%</f>
        <v>3220</v>
      </c>
      <c r="I35" s="3"/>
      <c r="J35" s="3"/>
      <c r="K35" s="3"/>
      <c r="L35" s="13"/>
      <c r="M35" s="3"/>
    </row>
    <row r="36" spans="1:13">
      <c r="A36" s="3" t="s">
        <v>151</v>
      </c>
      <c r="B36" s="3"/>
      <c r="C36" s="32"/>
      <c r="D36" s="3"/>
      <c r="E36" s="3"/>
      <c r="F36" s="16"/>
      <c r="G36" s="3"/>
      <c r="H36" s="47">
        <f>2250</f>
        <v>2250</v>
      </c>
      <c r="I36" s="3"/>
      <c r="J36" s="3"/>
      <c r="K36" s="3"/>
      <c r="L36" s="13"/>
      <c r="M36" s="3"/>
    </row>
    <row r="37" spans="1:13">
      <c r="A37" s="3" t="s">
        <v>66</v>
      </c>
      <c r="B37" s="3"/>
      <c r="C37" s="32"/>
      <c r="D37" s="3"/>
      <c r="E37" s="3"/>
      <c r="F37" s="16"/>
      <c r="G37" s="3"/>
      <c r="H37" s="47">
        <f>H17+H29+H23</f>
        <v>7500</v>
      </c>
      <c r="I37" s="3"/>
      <c r="J37" s="3"/>
      <c r="K37" s="3"/>
      <c r="L37" s="13"/>
      <c r="M37" s="3"/>
    </row>
    <row r="38" spans="1:13">
      <c r="A38" s="13" t="s">
        <v>67</v>
      </c>
      <c r="B38" s="13"/>
      <c r="C38" s="13"/>
      <c r="D38" s="13"/>
      <c r="E38" s="13"/>
      <c r="F38" s="48"/>
      <c r="G38" s="13"/>
      <c r="H38" s="49">
        <f>SUM(H35:H37)</f>
        <v>12970</v>
      </c>
      <c r="I38" s="13"/>
      <c r="J38" s="3"/>
      <c r="K38" s="13"/>
      <c r="L38" s="13"/>
      <c r="M38" s="13"/>
    </row>
    <row r="39" spans="1:13">
      <c r="A39" s="3" t="s">
        <v>68</v>
      </c>
      <c r="B39" s="3"/>
      <c r="C39" s="3"/>
      <c r="D39" s="3"/>
      <c r="E39" s="3"/>
      <c r="F39" s="16"/>
      <c r="G39" s="3"/>
      <c r="H39" s="50">
        <f>JULY!K40</f>
        <v>-2250</v>
      </c>
      <c r="I39" s="51" t="s">
        <v>69</v>
      </c>
      <c r="J39" s="51" t="s">
        <v>70</v>
      </c>
      <c r="K39" s="51" t="s">
        <v>71</v>
      </c>
      <c r="L39" s="52"/>
      <c r="M39" s="52"/>
    </row>
    <row r="40" ht="15.75" spans="1:13">
      <c r="A40" s="2" t="s">
        <v>72</v>
      </c>
      <c r="B40" s="2"/>
      <c r="C40" s="2"/>
      <c r="D40" s="2"/>
      <c r="E40" s="2"/>
      <c r="F40" s="45"/>
      <c r="G40" s="13"/>
      <c r="H40" s="53">
        <f>H32-H38+H39</f>
        <v>16980</v>
      </c>
      <c r="I40" s="48">
        <v>20000</v>
      </c>
      <c r="J40" s="48"/>
      <c r="K40" s="54">
        <f>H40-I40-J40</f>
        <v>-3020</v>
      </c>
      <c r="L40" s="52"/>
      <c r="M40" s="52"/>
    </row>
    <row r="41" ht="15.75" spans="1:13">
      <c r="A41" s="3" t="s">
        <v>73</v>
      </c>
      <c r="B41" s="3"/>
      <c r="C41" s="3"/>
      <c r="D41" s="3"/>
      <c r="E41" s="3"/>
      <c r="F41" s="16"/>
      <c r="G41" s="3"/>
      <c r="H41" s="3"/>
      <c r="I41" s="3"/>
      <c r="J41" s="3"/>
      <c r="K41" s="55">
        <v>46265</v>
      </c>
      <c r="L41" s="56"/>
      <c r="M41" s="55"/>
    </row>
    <row r="42" spans="1:13">
      <c r="H42" s="57"/>
    </row>
    <row r="45" spans="1:13">
      <c r="H45" t="e">
        <f>H32/G32*100</f>
        <v>#REF!</v>
      </c>
    </row>
    <row r="46" spans="1:13">
      <c r="I46">
        <f>6658-3980</f>
        <v>2678</v>
      </c>
    </row>
    <row r="50" spans="8:17">
      <c r="Q50" t="s">
        <v>74</v>
      </c>
    </row>
    <row r="51" spans="8:17">
      <c r="H51" t="s">
        <v>75</v>
      </c>
      <c r="I51" s="57" t="e">
        <f>H13+#REF!+H14+H18+H22+H25+H26+H27+H30+#REF!+4700</f>
        <v>#REF!</v>
      </c>
    </row>
    <row r="52" spans="8:17">
      <c r="H52" t="s">
        <v>76</v>
      </c>
      <c r="I52" s="57">
        <f>H15+300</f>
        <v>3300</v>
      </c>
    </row>
  </sheetData>
  <mergeCells count="1">
    <mergeCell ref="A3:K3"/>
  </mergeCells>
  <pageMargins left="0.25" right="0.25" top="0.75" bottom="0.75" header="0.3" footer="0.3"/>
  <pageSetup paperSize="1" scale="63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52"/>
  <sheetViews>
    <sheetView zoomScale="95" zoomScaleNormal="95" workbookViewId="0">
      <selection activeCell="C9" sqref="C9"/>
    </sheetView>
  </sheetViews>
  <sheetFormatPr defaultColWidth="9" defaultRowHeight="15"/>
  <cols>
    <col min="2" max="2" width="19.1047619047619" customWidth="1"/>
    <col min="3" max="3" width="20.4380952380952" customWidth="1"/>
    <col min="4" max="4" width="9.66666666666667" customWidth="1"/>
    <col min="5" max="5" width="12.2190476190476" customWidth="1"/>
    <col min="6" max="6" width="8.43809523809524" customWidth="1"/>
    <col min="7" max="7" width="9.55238095238095" customWidth="1"/>
    <col min="8" max="8" width="10.2190476190476" customWidth="1"/>
    <col min="9" max="9" width="30.2190476190476" customWidth="1"/>
    <col min="10" max="10" width="9.55238095238095" customWidth="1"/>
    <col min="11" max="11" width="9.43809523809524" customWidth="1"/>
    <col min="12" max="12" width="18.7809523809524" customWidth="1"/>
    <col min="13" max="13" width="16.6666666666667" customWidth="1"/>
  </cols>
  <sheetData>
    <row r="1" spans="1:13">
      <c r="A1" s="2"/>
      <c r="B1" s="3"/>
      <c r="C1" s="4" t="s">
        <v>0</v>
      </c>
      <c r="D1" s="5"/>
      <c r="E1" s="3"/>
      <c r="F1" s="6"/>
      <c r="G1" s="7"/>
      <c r="H1" s="7"/>
      <c r="I1" s="8"/>
      <c r="J1" s="8"/>
      <c r="K1" s="9"/>
      <c r="L1" s="9"/>
      <c r="M1" s="9"/>
    </row>
    <row r="2" spans="1:13">
      <c r="A2" s="2" t="s">
        <v>1</v>
      </c>
      <c r="B2" s="2"/>
      <c r="C2" s="2"/>
      <c r="D2" s="2"/>
      <c r="E2" s="7"/>
      <c r="F2" s="6"/>
      <c r="G2" s="7"/>
      <c r="H2" s="7"/>
      <c r="I2" s="8"/>
      <c r="J2" s="8"/>
      <c r="K2" s="9"/>
      <c r="L2" s="9"/>
      <c r="M2" s="9"/>
    </row>
    <row r="3" spans="1:13">
      <c r="A3" s="10">
        <v>46295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2"/>
      <c r="M3" s="2"/>
    </row>
    <row r="4" spans="1:13">
      <c r="A4" s="2"/>
      <c r="B4" s="2"/>
      <c r="C4" s="2"/>
      <c r="D4" s="7"/>
      <c r="E4" s="7"/>
      <c r="F4" s="6"/>
      <c r="G4" s="7"/>
      <c r="H4" s="7"/>
      <c r="I4" s="8" t="s">
        <v>2</v>
      </c>
      <c r="J4" s="8"/>
      <c r="K4" s="12"/>
      <c r="L4" s="12"/>
      <c r="M4" s="12"/>
    </row>
    <row r="5" spans="1:13">
      <c r="A5" s="13"/>
      <c r="B5" s="13"/>
      <c r="C5" s="13"/>
      <c r="D5" s="12"/>
      <c r="E5" s="12"/>
      <c r="F5" s="14"/>
      <c r="G5" s="12"/>
      <c r="H5" s="12"/>
      <c r="I5" s="15" t="s">
        <v>3</v>
      </c>
      <c r="J5" s="15"/>
      <c r="K5" s="12"/>
      <c r="L5" s="12"/>
      <c r="M5" s="12"/>
    </row>
    <row r="6" spans="1:13">
      <c r="A6" s="13" t="s">
        <v>4</v>
      </c>
      <c r="B6" s="13"/>
      <c r="C6" s="13"/>
      <c r="D6" s="3"/>
      <c r="E6" s="3"/>
      <c r="F6" s="16"/>
      <c r="G6" s="3"/>
      <c r="H6" s="12" t="s">
        <v>5</v>
      </c>
      <c r="I6" s="15"/>
      <c r="J6" s="15"/>
      <c r="K6" s="12"/>
      <c r="L6" s="12"/>
      <c r="M6" s="12"/>
    </row>
    <row r="7" spans="1:13">
      <c r="A7" s="13"/>
      <c r="B7" s="13"/>
      <c r="C7" s="13"/>
      <c r="D7" s="3"/>
      <c r="E7" s="3"/>
      <c r="F7" s="16"/>
      <c r="G7" s="3"/>
      <c r="H7" s="12" t="s">
        <v>6</v>
      </c>
      <c r="I7" s="15"/>
      <c r="J7" s="15"/>
      <c r="K7" s="12"/>
      <c r="L7" s="12"/>
      <c r="M7" s="12"/>
    </row>
    <row r="8" spans="1:13">
      <c r="A8" s="13" t="s">
        <v>7</v>
      </c>
      <c r="B8" s="13"/>
      <c r="C8" s="13"/>
      <c r="D8" s="17"/>
      <c r="E8" s="12"/>
      <c r="F8" s="14"/>
      <c r="G8" s="12"/>
      <c r="H8" s="12"/>
      <c r="I8" s="15"/>
      <c r="J8" s="15"/>
      <c r="K8" s="12"/>
      <c r="L8" s="12"/>
      <c r="M8" s="12"/>
    </row>
    <row r="9" ht="22.5" spans="1:13">
      <c r="A9" s="2" t="s">
        <v>8</v>
      </c>
      <c r="B9" s="2" t="s">
        <v>9</v>
      </c>
      <c r="C9" s="2" t="s">
        <v>10</v>
      </c>
      <c r="D9" s="18" t="s">
        <v>11</v>
      </c>
      <c r="E9" s="19" t="s">
        <v>12</v>
      </c>
      <c r="F9" s="6" t="s">
        <v>13</v>
      </c>
      <c r="G9" s="20" t="s">
        <v>14</v>
      </c>
      <c r="H9" s="7" t="s">
        <v>15</v>
      </c>
      <c r="I9" s="2" t="s">
        <v>16</v>
      </c>
      <c r="J9" s="2" t="s">
        <v>17</v>
      </c>
      <c r="K9" s="7" t="s">
        <v>18</v>
      </c>
      <c r="L9" s="7" t="s">
        <v>19</v>
      </c>
      <c r="M9" s="7" t="s">
        <v>20</v>
      </c>
    </row>
    <row r="10" spans="1:13">
      <c r="A10" s="21"/>
      <c r="B10" s="2" t="s">
        <v>21</v>
      </c>
      <c r="C10" s="2"/>
      <c r="D10" s="18"/>
      <c r="E10" s="19"/>
      <c r="F10" s="22" t="e">
        <f>AUG!K10</f>
        <v>#REF!</v>
      </c>
      <c r="G10" s="23" t="e">
        <f>D10+E10+F10</f>
        <v>#REF!</v>
      </c>
      <c r="H10" s="24"/>
      <c r="I10" s="25"/>
      <c r="J10" s="26" t="s">
        <v>200</v>
      </c>
      <c r="K10" s="7" t="e">
        <f>G10-H10</f>
        <v>#REF!</v>
      </c>
      <c r="L10" s="7"/>
      <c r="M10" s="7"/>
    </row>
    <row r="11" spans="1:13">
      <c r="A11" s="21"/>
      <c r="B11" s="2" t="s">
        <v>21</v>
      </c>
      <c r="C11" s="2"/>
      <c r="D11" s="18"/>
      <c r="E11" s="19"/>
      <c r="F11" s="22" t="e">
        <f>AUG!K11</f>
        <v>#REF!</v>
      </c>
      <c r="G11" s="23" t="e">
        <f t="shared" ref="G11:G31" si="0">D11+E11+F11</f>
        <v>#REF!</v>
      </c>
      <c r="H11" s="24"/>
      <c r="I11" s="25"/>
      <c r="J11" s="26" t="s">
        <v>200</v>
      </c>
      <c r="K11" s="7" t="e">
        <f t="shared" ref="K11:K12" si="1">G11-H11</f>
        <v>#REF!</v>
      </c>
      <c r="L11" s="7"/>
      <c r="M11" s="7"/>
    </row>
    <row r="12" s="1" customFormat="1" spans="1:13">
      <c r="A12" s="3">
        <v>1</v>
      </c>
      <c r="B12" s="3" t="s">
        <v>30</v>
      </c>
      <c r="C12" s="3"/>
      <c r="D12" s="27"/>
      <c r="E12" s="28"/>
      <c r="F12" s="22">
        <f>AUG!K12</f>
        <v>0</v>
      </c>
      <c r="G12" s="23">
        <f t="shared" si="0"/>
        <v>0</v>
      </c>
      <c r="H12" s="29"/>
      <c r="I12" s="30"/>
      <c r="J12" s="26" t="s">
        <v>200</v>
      </c>
      <c r="K12" s="31">
        <f t="shared" si="1"/>
        <v>0</v>
      </c>
      <c r="L12" s="31"/>
      <c r="M12" s="31"/>
    </row>
    <row r="13" spans="1:13">
      <c r="A13" s="21">
        <v>2</v>
      </c>
      <c r="B13" s="3" t="s">
        <v>167</v>
      </c>
      <c r="C13" s="82" t="s">
        <v>201</v>
      </c>
      <c r="D13" s="28"/>
      <c r="E13" s="28">
        <v>2500</v>
      </c>
      <c r="F13" s="22">
        <f>AUG!K13</f>
        <v>500</v>
      </c>
      <c r="G13" s="23">
        <f t="shared" si="0"/>
        <v>3000</v>
      </c>
      <c r="H13" s="58">
        <f>2000</f>
        <v>2000</v>
      </c>
      <c r="I13" s="59" t="s">
        <v>202</v>
      </c>
      <c r="J13" s="26" t="s">
        <v>200</v>
      </c>
      <c r="K13" s="31">
        <f t="shared" ref="K13:K31" si="2">G13-H13</f>
        <v>1000</v>
      </c>
      <c r="L13" s="34"/>
      <c r="M13" s="35"/>
    </row>
    <row r="14" spans="1:13">
      <c r="A14" s="21">
        <v>3</v>
      </c>
      <c r="B14" s="3" t="s">
        <v>93</v>
      </c>
      <c r="C14" s="82" t="s">
        <v>169</v>
      </c>
      <c r="D14" s="28"/>
      <c r="E14" s="28">
        <v>2500</v>
      </c>
      <c r="F14" s="22">
        <f>AUG!K14</f>
        <v>2700</v>
      </c>
      <c r="G14" s="23">
        <f t="shared" si="0"/>
        <v>5200</v>
      </c>
      <c r="H14" s="60">
        <f>1500+1000+1500</f>
        <v>4000</v>
      </c>
      <c r="I14" s="59" t="s">
        <v>203</v>
      </c>
      <c r="J14" s="26" t="s">
        <v>200</v>
      </c>
      <c r="K14" s="31">
        <f t="shared" si="2"/>
        <v>1200</v>
      </c>
      <c r="L14" s="34"/>
      <c r="M14" s="35"/>
    </row>
    <row r="15" spans="1:13">
      <c r="A15" s="21">
        <v>4</v>
      </c>
      <c r="B15" s="3" t="s">
        <v>119</v>
      </c>
      <c r="C15" s="82" t="s">
        <v>120</v>
      </c>
      <c r="D15" s="28"/>
      <c r="E15" s="28">
        <v>2500</v>
      </c>
      <c r="F15" s="22">
        <f>AUG!K15</f>
        <v>500</v>
      </c>
      <c r="G15" s="23">
        <f t="shared" si="0"/>
        <v>3000</v>
      </c>
      <c r="H15" s="60">
        <f>2700</f>
        <v>2700</v>
      </c>
      <c r="I15" s="59" t="s">
        <v>204</v>
      </c>
      <c r="J15" s="26" t="s">
        <v>200</v>
      </c>
      <c r="K15" s="31">
        <f t="shared" si="2"/>
        <v>300</v>
      </c>
      <c r="L15" s="34"/>
      <c r="M15" s="35"/>
    </row>
    <row r="16" spans="1:13">
      <c r="A16" s="21">
        <v>5</v>
      </c>
      <c r="B16" s="3" t="s">
        <v>31</v>
      </c>
      <c r="C16" s="82" t="s">
        <v>205</v>
      </c>
      <c r="D16" s="28"/>
      <c r="E16" s="28">
        <v>2500</v>
      </c>
      <c r="F16" s="22">
        <f>AUG!K16</f>
        <v>0</v>
      </c>
      <c r="G16" s="23">
        <f t="shared" si="0"/>
        <v>2500</v>
      </c>
      <c r="H16" s="36">
        <f>2500</f>
        <v>2500</v>
      </c>
      <c r="I16" s="59" t="s">
        <v>206</v>
      </c>
      <c r="J16" s="26" t="s">
        <v>200</v>
      </c>
      <c r="K16" s="31">
        <f t="shared" si="2"/>
        <v>0</v>
      </c>
      <c r="L16" s="34"/>
      <c r="M16" s="35"/>
    </row>
    <row r="17" spans="1:15">
      <c r="A17" s="21">
        <v>6</v>
      </c>
      <c r="B17" s="3" t="s">
        <v>123</v>
      </c>
      <c r="C17" s="32"/>
      <c r="D17" s="28"/>
      <c r="E17" s="28">
        <v>2500</v>
      </c>
      <c r="F17" s="22">
        <f>AUG!K17</f>
        <v>0</v>
      </c>
      <c r="G17" s="23">
        <f t="shared" si="0"/>
        <v>2500</v>
      </c>
      <c r="H17" s="60">
        <f>1000+1500</f>
        <v>2500</v>
      </c>
      <c r="I17" s="59" t="s">
        <v>207</v>
      </c>
      <c r="J17" s="26" t="s">
        <v>200</v>
      </c>
      <c r="K17" s="31">
        <f t="shared" si="2"/>
        <v>0</v>
      </c>
      <c r="L17" s="34"/>
      <c r="M17" s="35"/>
    </row>
    <row r="18" spans="1:15">
      <c r="A18" s="21">
        <v>7</v>
      </c>
      <c r="B18" s="3" t="s">
        <v>125</v>
      </c>
      <c r="C18" s="82" t="s">
        <v>35</v>
      </c>
      <c r="D18" s="28"/>
      <c r="E18" s="28">
        <v>2500</v>
      </c>
      <c r="F18" s="22">
        <f>AUG!K18</f>
        <v>400</v>
      </c>
      <c r="G18" s="23">
        <f t="shared" si="0"/>
        <v>2900</v>
      </c>
      <c r="H18" s="60">
        <f>2500</f>
        <v>2500</v>
      </c>
      <c r="I18" s="59" t="s">
        <v>208</v>
      </c>
      <c r="J18" s="26" t="s">
        <v>200</v>
      </c>
      <c r="K18" s="31">
        <f t="shared" si="2"/>
        <v>400</v>
      </c>
      <c r="L18" s="34"/>
      <c r="M18" s="35"/>
      <c r="O18" t="s">
        <v>37</v>
      </c>
    </row>
    <row r="19" spans="1:15">
      <c r="A19" s="21">
        <v>8</v>
      </c>
      <c r="B19" s="3" t="s">
        <v>174</v>
      </c>
      <c r="C19" s="82" t="s">
        <v>209</v>
      </c>
      <c r="D19" s="28"/>
      <c r="E19" s="28">
        <v>2500</v>
      </c>
      <c r="F19" s="22">
        <f>AUG!K19</f>
        <v>0</v>
      </c>
      <c r="G19" s="23">
        <f t="shared" si="0"/>
        <v>2500</v>
      </c>
      <c r="H19" s="58">
        <f>1000+1000+500</f>
        <v>2500</v>
      </c>
      <c r="I19" s="59" t="s">
        <v>210</v>
      </c>
      <c r="J19" s="26" t="s">
        <v>200</v>
      </c>
      <c r="K19" s="31">
        <f t="shared" si="2"/>
        <v>0</v>
      </c>
      <c r="L19" s="34"/>
      <c r="M19" s="35"/>
    </row>
    <row r="20" spans="1:15">
      <c r="A20" s="21">
        <v>9</v>
      </c>
      <c r="B20" s="3" t="s">
        <v>145</v>
      </c>
      <c r="C20" s="82" t="s">
        <v>211</v>
      </c>
      <c r="D20" s="28"/>
      <c r="E20" s="28">
        <v>2500</v>
      </c>
      <c r="F20" s="22">
        <f>AUG!K20</f>
        <v>2500</v>
      </c>
      <c r="G20" s="23">
        <f t="shared" si="0"/>
        <v>5000</v>
      </c>
      <c r="H20" s="58">
        <f>2500+2500</f>
        <v>5000</v>
      </c>
      <c r="I20" s="59" t="s">
        <v>212</v>
      </c>
      <c r="J20" s="26" t="s">
        <v>200</v>
      </c>
      <c r="K20" s="31">
        <f t="shared" si="2"/>
        <v>0</v>
      </c>
      <c r="L20" s="34"/>
      <c r="M20" s="35"/>
    </row>
    <row r="21" spans="1:15">
      <c r="A21" s="21">
        <v>10</v>
      </c>
      <c r="B21" s="3" t="s">
        <v>213</v>
      </c>
      <c r="C21" s="32"/>
      <c r="D21" s="28">
        <v>1000</v>
      </c>
      <c r="E21" s="28"/>
      <c r="F21" s="22">
        <f>AUG!K21</f>
        <v>0</v>
      </c>
      <c r="G21" s="23">
        <f t="shared" si="0"/>
        <v>1000</v>
      </c>
      <c r="H21" s="58">
        <f>300+700</f>
        <v>1000</v>
      </c>
      <c r="I21" s="59" t="s">
        <v>214</v>
      </c>
      <c r="J21" s="26" t="s">
        <v>200</v>
      </c>
      <c r="K21" s="31">
        <f t="shared" si="2"/>
        <v>0</v>
      </c>
      <c r="L21" s="34"/>
      <c r="M21" s="35"/>
    </row>
    <row r="22" spans="1:15">
      <c r="A22" s="21">
        <v>11</v>
      </c>
      <c r="B22" s="3" t="s">
        <v>40</v>
      </c>
      <c r="C22" s="82" t="s">
        <v>41</v>
      </c>
      <c r="D22" s="28"/>
      <c r="E22" s="28">
        <v>2200</v>
      </c>
      <c r="F22" s="22">
        <f>AUG!K22</f>
        <v>0</v>
      </c>
      <c r="G22" s="23">
        <f t="shared" si="0"/>
        <v>2200</v>
      </c>
      <c r="H22" s="60">
        <f>2200</f>
        <v>2200</v>
      </c>
      <c r="I22" s="59" t="s">
        <v>215</v>
      </c>
      <c r="J22" s="26" t="s">
        <v>200</v>
      </c>
      <c r="K22" s="31">
        <f t="shared" si="2"/>
        <v>0</v>
      </c>
      <c r="L22" s="34"/>
      <c r="M22" s="35"/>
    </row>
    <row r="23" spans="1:15">
      <c r="A23" s="21">
        <v>12</v>
      </c>
      <c r="B23" s="3" t="s">
        <v>180</v>
      </c>
      <c r="C23" s="82" t="s">
        <v>216</v>
      </c>
      <c r="D23" s="28"/>
      <c r="E23" s="28">
        <v>2500</v>
      </c>
      <c r="F23" s="22">
        <f>AUG!K23</f>
        <v>0</v>
      </c>
      <c r="G23" s="23">
        <f t="shared" si="0"/>
        <v>2500</v>
      </c>
      <c r="H23" s="29">
        <f>2500</f>
        <v>2500</v>
      </c>
      <c r="I23" s="33" t="s">
        <v>24</v>
      </c>
      <c r="J23" s="26" t="s">
        <v>200</v>
      </c>
      <c r="K23" s="31">
        <f t="shared" si="2"/>
        <v>0</v>
      </c>
      <c r="L23" s="34"/>
      <c r="M23" s="35"/>
    </row>
    <row r="24" spans="1:15">
      <c r="A24" s="21">
        <v>13</v>
      </c>
      <c r="B24" s="3" t="s">
        <v>46</v>
      </c>
      <c r="C24" s="82" t="s">
        <v>217</v>
      </c>
      <c r="D24" s="28"/>
      <c r="E24" s="28">
        <v>2500</v>
      </c>
      <c r="F24" s="22">
        <f>AUG!K24</f>
        <v>2500</v>
      </c>
      <c r="G24" s="23">
        <f t="shared" si="0"/>
        <v>5000</v>
      </c>
      <c r="H24" s="29">
        <f>2500</f>
        <v>2500</v>
      </c>
      <c r="I24" s="59" t="s">
        <v>218</v>
      </c>
      <c r="J24" s="26" t="s">
        <v>200</v>
      </c>
      <c r="K24" s="31">
        <f t="shared" si="2"/>
        <v>2500</v>
      </c>
      <c r="L24" s="34"/>
      <c r="M24" s="35"/>
    </row>
    <row r="25" spans="1:15">
      <c r="A25" s="21">
        <v>14</v>
      </c>
      <c r="B25" s="3" t="s">
        <v>132</v>
      </c>
      <c r="C25" s="82" t="s">
        <v>219</v>
      </c>
      <c r="D25" s="28"/>
      <c r="E25" s="28">
        <v>2500</v>
      </c>
      <c r="F25" s="22">
        <f>AUG!K25</f>
        <v>0</v>
      </c>
      <c r="G25" s="23">
        <f t="shared" si="0"/>
        <v>2500</v>
      </c>
      <c r="H25" s="29">
        <v>7500</v>
      </c>
      <c r="I25" s="33" t="s">
        <v>24</v>
      </c>
      <c r="J25" s="26" t="s">
        <v>200</v>
      </c>
      <c r="K25" s="31">
        <f t="shared" si="2"/>
        <v>-5000</v>
      </c>
      <c r="L25" s="34"/>
      <c r="M25" s="35"/>
    </row>
    <row r="26" spans="1:15">
      <c r="A26" s="21">
        <v>15</v>
      </c>
      <c r="B26" s="3" t="s">
        <v>183</v>
      </c>
      <c r="C26" s="82" t="s">
        <v>184</v>
      </c>
      <c r="D26" s="28"/>
      <c r="E26" s="28">
        <v>2500</v>
      </c>
      <c r="F26" s="22">
        <f>AUG!K26</f>
        <v>0</v>
      </c>
      <c r="G26" s="23">
        <f t="shared" si="0"/>
        <v>2500</v>
      </c>
      <c r="H26" s="29">
        <f>3500</f>
        <v>3500</v>
      </c>
      <c r="I26" s="59" t="s">
        <v>220</v>
      </c>
      <c r="J26" s="26" t="s">
        <v>200</v>
      </c>
      <c r="K26" s="31">
        <f t="shared" si="2"/>
        <v>-1000</v>
      </c>
      <c r="L26" s="34"/>
      <c r="M26" s="35"/>
    </row>
    <row r="27" spans="1:15">
      <c r="A27" s="84" t="s">
        <v>51</v>
      </c>
      <c r="B27" s="3" t="s">
        <v>52</v>
      </c>
      <c r="C27" s="82" t="s">
        <v>53</v>
      </c>
      <c r="D27" s="28"/>
      <c r="E27" s="28">
        <v>3000</v>
      </c>
      <c r="F27" s="22">
        <f>AUG!K27</f>
        <v>0</v>
      </c>
      <c r="G27" s="23">
        <f t="shared" si="0"/>
        <v>3000</v>
      </c>
      <c r="H27" s="36">
        <f>3000</f>
        <v>3000</v>
      </c>
      <c r="I27" s="59" t="s">
        <v>221</v>
      </c>
      <c r="J27" s="26" t="s">
        <v>200</v>
      </c>
      <c r="K27" s="31">
        <f t="shared" si="2"/>
        <v>0</v>
      </c>
      <c r="L27" s="34"/>
      <c r="M27" s="35"/>
    </row>
    <row r="28" spans="1:15">
      <c r="A28" s="21">
        <v>17</v>
      </c>
      <c r="B28" s="3" t="s">
        <v>21</v>
      </c>
      <c r="C28" s="32"/>
      <c r="D28" s="28"/>
      <c r="E28" s="28"/>
      <c r="F28" s="22">
        <f>AUG!K28</f>
        <v>0</v>
      </c>
      <c r="G28" s="23">
        <f t="shared" si="0"/>
        <v>0</v>
      </c>
      <c r="H28" s="29"/>
      <c r="I28" s="33"/>
      <c r="J28" s="26" t="s">
        <v>200</v>
      </c>
      <c r="K28" s="31">
        <f t="shared" si="2"/>
        <v>0</v>
      </c>
      <c r="L28" s="34"/>
      <c r="M28" s="35"/>
    </row>
    <row r="29" spans="1:15">
      <c r="A29" s="21">
        <v>18</v>
      </c>
      <c r="B29" s="3" t="s">
        <v>222</v>
      </c>
      <c r="C29" s="82" t="s">
        <v>223</v>
      </c>
      <c r="D29" s="28"/>
      <c r="E29" s="28">
        <v>2500</v>
      </c>
      <c r="F29" s="22">
        <f>AUG!K29</f>
        <v>0</v>
      </c>
      <c r="G29" s="23">
        <f t="shared" si="0"/>
        <v>2500</v>
      </c>
      <c r="H29" s="29">
        <f>2500</f>
        <v>2500</v>
      </c>
      <c r="I29" s="33" t="s">
        <v>24</v>
      </c>
      <c r="J29" s="26" t="s">
        <v>200</v>
      </c>
      <c r="K29" s="31">
        <f t="shared" si="2"/>
        <v>0</v>
      </c>
      <c r="L29" s="34"/>
      <c r="M29" s="35"/>
    </row>
    <row r="30" spans="1:15">
      <c r="A30" s="21">
        <v>19</v>
      </c>
      <c r="B30" s="3" t="s">
        <v>224</v>
      </c>
      <c r="C30" s="82" t="s">
        <v>225</v>
      </c>
      <c r="D30" s="28"/>
      <c r="E30" s="28"/>
      <c r="F30" s="22">
        <f>AUG!K30</f>
        <v>0</v>
      </c>
      <c r="G30" s="23">
        <f t="shared" si="0"/>
        <v>0</v>
      </c>
      <c r="H30" s="60">
        <f>2500</f>
        <v>2500</v>
      </c>
      <c r="I30" s="61" t="s">
        <v>226</v>
      </c>
      <c r="J30" s="26" t="s">
        <v>200</v>
      </c>
      <c r="K30" s="31">
        <f t="shared" si="2"/>
        <v>-2500</v>
      </c>
      <c r="L30" s="34" t="s">
        <v>227</v>
      </c>
      <c r="M30" s="35"/>
    </row>
    <row r="31" spans="1:15">
      <c r="A31" s="21">
        <v>21</v>
      </c>
      <c r="B31" s="39" t="s">
        <v>59</v>
      </c>
      <c r="C31" s="82" t="s">
        <v>60</v>
      </c>
      <c r="D31" s="28"/>
      <c r="E31" s="28">
        <v>2500</v>
      </c>
      <c r="F31" s="22">
        <f>AUG!K31</f>
        <v>2500</v>
      </c>
      <c r="G31" s="23">
        <f t="shared" si="0"/>
        <v>5000</v>
      </c>
      <c r="H31" s="58">
        <f>2500</f>
        <v>2500</v>
      </c>
      <c r="I31" s="62" t="s">
        <v>228</v>
      </c>
      <c r="J31" s="26" t="s">
        <v>200</v>
      </c>
      <c r="K31" s="31">
        <f t="shared" si="2"/>
        <v>2500</v>
      </c>
      <c r="L31" s="34"/>
      <c r="M31" s="35"/>
    </row>
    <row r="32" spans="1:15">
      <c r="A32" s="2"/>
      <c r="B32" s="39"/>
      <c r="C32" s="32"/>
      <c r="D32" s="40">
        <f>SUM(D13:D30)</f>
        <v>1000</v>
      </c>
      <c r="E32" s="40">
        <f>SUM(E10:E31)</f>
        <v>40200</v>
      </c>
      <c r="F32" s="40" t="e">
        <f>SUM(F10:F31)</f>
        <v>#REF!</v>
      </c>
      <c r="G32" s="40" t="e">
        <f>SUM(G10:G31)</f>
        <v>#REF!</v>
      </c>
      <c r="H32" s="40">
        <f>SUM(H10:H31)</f>
        <v>53400</v>
      </c>
      <c r="I32" s="40"/>
      <c r="J32" s="40">
        <f>SUM(J13:J30)</f>
        <v>0</v>
      </c>
      <c r="K32" s="40" t="e">
        <f>SUM(K10:K31)</f>
        <v>#REF!</v>
      </c>
      <c r="L32" s="41"/>
      <c r="M32" s="41"/>
    </row>
    <row r="33" spans="1:13">
      <c r="A33" s="42" t="s">
        <v>62</v>
      </c>
      <c r="B33" s="3"/>
      <c r="C33" s="32"/>
      <c r="D33" s="43"/>
      <c r="E33" s="44"/>
      <c r="F33" s="45"/>
      <c r="G33" s="44"/>
      <c r="H33" s="44"/>
      <c r="I33" s="2"/>
      <c r="J33" s="2"/>
      <c r="K33" s="44"/>
      <c r="L33" s="44"/>
      <c r="M33" s="44"/>
    </row>
    <row r="34" spans="1:13">
      <c r="A34" s="46" t="s">
        <v>63</v>
      </c>
      <c r="B34" s="3"/>
      <c r="C34" s="32"/>
      <c r="D34" s="43"/>
      <c r="E34" s="44"/>
      <c r="F34" s="45"/>
      <c r="G34" s="44"/>
      <c r="H34" s="44"/>
      <c r="I34" s="2"/>
      <c r="J34" s="2"/>
      <c r="K34" s="44"/>
      <c r="L34" s="44"/>
      <c r="M34" s="44"/>
    </row>
    <row r="35" spans="1:13">
      <c r="A35" s="3" t="s">
        <v>64</v>
      </c>
      <c r="B35" s="3"/>
      <c r="C35" s="32"/>
      <c r="D35" s="3"/>
      <c r="E35" s="3"/>
      <c r="F35" s="16"/>
      <c r="G35" s="3"/>
      <c r="H35" s="47">
        <f>H32*10%</f>
        <v>5340</v>
      </c>
      <c r="I35" s="3"/>
      <c r="J35" s="3"/>
      <c r="K35" s="3"/>
      <c r="L35" s="13"/>
      <c r="M35" s="3"/>
    </row>
    <row r="36" spans="1:13">
      <c r="A36" s="3" t="s">
        <v>151</v>
      </c>
      <c r="B36" s="3"/>
      <c r="C36" s="32"/>
      <c r="D36" s="3"/>
      <c r="E36" s="3"/>
      <c r="F36" s="16"/>
      <c r="G36" s="3"/>
      <c r="H36" s="47">
        <f>2250</f>
        <v>2250</v>
      </c>
      <c r="I36" s="3"/>
      <c r="J36" s="3"/>
      <c r="K36" s="3"/>
      <c r="L36" s="13"/>
      <c r="M36" s="3"/>
    </row>
    <row r="37" spans="1:13">
      <c r="A37" s="3" t="s">
        <v>66</v>
      </c>
      <c r="B37" s="3"/>
      <c r="C37" s="32"/>
      <c r="D37" s="3"/>
      <c r="E37" s="3"/>
      <c r="F37" s="16"/>
      <c r="G37" s="3"/>
      <c r="H37" s="47">
        <f>H29+H23+2500+H25</f>
        <v>15000</v>
      </c>
      <c r="I37" s="3"/>
      <c r="J37" s="3"/>
      <c r="K37" s="3"/>
      <c r="L37" s="13"/>
      <c r="M37" s="3"/>
    </row>
    <row r="38" spans="1:13">
      <c r="A38" s="13" t="s">
        <v>67</v>
      </c>
      <c r="B38" s="13"/>
      <c r="C38" s="13"/>
      <c r="D38" s="13"/>
      <c r="E38" s="13"/>
      <c r="F38" s="48"/>
      <c r="G38" s="13"/>
      <c r="H38" s="49">
        <f>SUM(H35:H37)</f>
        <v>22590</v>
      </c>
      <c r="I38" s="13"/>
      <c r="J38" s="3"/>
      <c r="K38" s="13"/>
      <c r="L38" s="13"/>
      <c r="M38" s="13"/>
    </row>
    <row r="39" spans="1:13">
      <c r="A39" s="3" t="s">
        <v>68</v>
      </c>
      <c r="B39" s="3"/>
      <c r="C39" s="3"/>
      <c r="D39" s="3"/>
      <c r="E39" s="3"/>
      <c r="F39" s="16"/>
      <c r="G39" s="3"/>
      <c r="H39" s="50">
        <f>AUG!K40</f>
        <v>-3020</v>
      </c>
      <c r="I39" s="51" t="s">
        <v>69</v>
      </c>
      <c r="J39" s="51" t="s">
        <v>70</v>
      </c>
      <c r="K39" s="51" t="s">
        <v>71</v>
      </c>
      <c r="L39" s="52"/>
      <c r="M39" s="52"/>
    </row>
    <row r="40" ht="15.75" spans="1:13">
      <c r="A40" s="2" t="s">
        <v>72</v>
      </c>
      <c r="B40" s="2"/>
      <c r="C40" s="2"/>
      <c r="D40" s="2"/>
      <c r="E40" s="2"/>
      <c r="F40" s="45"/>
      <c r="G40" s="13"/>
      <c r="H40" s="53">
        <f>H32-H38+H39</f>
        <v>27790</v>
      </c>
      <c r="I40" s="48">
        <v>20000</v>
      </c>
      <c r="J40" s="48"/>
      <c r="K40" s="54">
        <f>H40-I40-J40</f>
        <v>7790</v>
      </c>
      <c r="L40" s="52"/>
      <c r="M40" s="52"/>
    </row>
    <row r="41" ht="15.75" spans="1:13">
      <c r="A41" s="3" t="s">
        <v>73</v>
      </c>
      <c r="B41" s="3"/>
      <c r="C41" s="3"/>
      <c r="D41" s="3"/>
      <c r="E41" s="3"/>
      <c r="F41" s="16"/>
      <c r="G41" s="3"/>
      <c r="H41" s="3"/>
      <c r="I41" s="3"/>
      <c r="J41" s="3"/>
      <c r="K41" s="55">
        <v>46295</v>
      </c>
      <c r="L41" s="56"/>
      <c r="M41" s="55"/>
    </row>
    <row r="42" spans="1:13">
      <c r="H42" s="57"/>
    </row>
    <row r="45" spans="1:13">
      <c r="H45" t="e">
        <f>H32/G32*100</f>
        <v>#REF!</v>
      </c>
    </row>
    <row r="46" spans="1:13">
      <c r="I46">
        <f>6658-3980</f>
        <v>2678</v>
      </c>
    </row>
    <row r="50" spans="8:17">
      <c r="Q50" t="s">
        <v>74</v>
      </c>
    </row>
    <row r="51" spans="8:17">
      <c r="H51" t="s">
        <v>75</v>
      </c>
      <c r="I51" s="57" t="e">
        <f>H13+#REF!+H14+H18+H22+H25+H26+H27+H30+#REF!+4700</f>
        <v>#REF!</v>
      </c>
    </row>
    <row r="52" spans="8:17">
      <c r="H52" t="s">
        <v>76</v>
      </c>
      <c r="I52" s="57">
        <f>H15+300</f>
        <v>3000</v>
      </c>
    </row>
  </sheetData>
  <mergeCells count="1">
    <mergeCell ref="A3:K3"/>
  </mergeCells>
  <pageMargins left="0.25" right="0.25" top="0.75" bottom="0.75" header="0.3" footer="0.3"/>
  <pageSetup paperSize="1" scale="60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52"/>
  <sheetViews>
    <sheetView zoomScale="95" zoomScaleNormal="95" workbookViewId="0">
      <selection activeCell="H35" sqref="H35"/>
    </sheetView>
  </sheetViews>
  <sheetFormatPr defaultColWidth="9" defaultRowHeight="15"/>
  <cols>
    <col min="2" max="2" width="19.1047619047619" customWidth="1"/>
    <col min="3" max="3" width="20.4380952380952" customWidth="1"/>
    <col min="4" max="4" width="9.66666666666667" customWidth="1"/>
    <col min="5" max="5" width="12.2190476190476" customWidth="1"/>
    <col min="6" max="6" width="8.43809523809524" customWidth="1"/>
    <col min="7" max="7" width="9.55238095238095" customWidth="1"/>
    <col min="8" max="8" width="10.2190476190476" customWidth="1"/>
    <col min="9" max="9" width="30.2190476190476" customWidth="1"/>
    <col min="10" max="10" width="9.55238095238095" customWidth="1"/>
    <col min="11" max="11" width="9.43809523809524" customWidth="1"/>
    <col min="12" max="12" width="18.7809523809524" customWidth="1"/>
    <col min="13" max="13" width="16.6666666666667" customWidth="1"/>
  </cols>
  <sheetData>
    <row r="1" spans="1:13">
      <c r="A1" s="2"/>
      <c r="B1" s="3"/>
      <c r="C1" s="4" t="s">
        <v>0</v>
      </c>
      <c r="D1" s="5"/>
      <c r="E1" s="3"/>
      <c r="F1" s="6"/>
      <c r="G1" s="7"/>
      <c r="H1" s="7"/>
      <c r="I1" s="8"/>
      <c r="J1" s="8"/>
      <c r="K1" s="9"/>
      <c r="L1" s="9"/>
      <c r="M1" s="9"/>
    </row>
    <row r="2" spans="1:13">
      <c r="A2" s="2" t="s">
        <v>1</v>
      </c>
      <c r="B2" s="2"/>
      <c r="C2" s="2"/>
      <c r="D2" s="2"/>
      <c r="E2" s="7"/>
      <c r="F2" s="6"/>
      <c r="G2" s="7"/>
      <c r="H2" s="7"/>
      <c r="I2" s="8"/>
      <c r="J2" s="8"/>
      <c r="K2" s="9"/>
      <c r="L2" s="9"/>
      <c r="M2" s="9"/>
    </row>
    <row r="3" spans="1:13">
      <c r="A3" s="10">
        <v>46326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2"/>
      <c r="M3" s="2"/>
    </row>
    <row r="4" spans="1:13">
      <c r="A4" s="2"/>
      <c r="B4" s="2"/>
      <c r="C4" s="2"/>
      <c r="D4" s="7"/>
      <c r="E4" s="7"/>
      <c r="F4" s="6"/>
      <c r="G4" s="7"/>
      <c r="H4" s="7"/>
      <c r="I4" s="8" t="s">
        <v>2</v>
      </c>
      <c r="J4" s="8"/>
      <c r="K4" s="12"/>
      <c r="L4" s="12"/>
      <c r="M4" s="12"/>
    </row>
    <row r="5" spans="1:13">
      <c r="A5" s="13"/>
      <c r="B5" s="13"/>
      <c r="C5" s="13"/>
      <c r="D5" s="12"/>
      <c r="E5" s="12"/>
      <c r="F5" s="14"/>
      <c r="G5" s="12"/>
      <c r="H5" s="12"/>
      <c r="I5" s="15" t="s">
        <v>3</v>
      </c>
      <c r="J5" s="15"/>
      <c r="K5" s="12"/>
      <c r="L5" s="12"/>
      <c r="M5" s="12"/>
    </row>
    <row r="6" spans="1:13">
      <c r="A6" s="13" t="s">
        <v>4</v>
      </c>
      <c r="B6" s="13"/>
      <c r="C6" s="13"/>
      <c r="D6" s="3"/>
      <c r="E6" s="3"/>
      <c r="F6" s="16"/>
      <c r="G6" s="3"/>
      <c r="H6" s="12" t="s">
        <v>5</v>
      </c>
      <c r="I6" s="15"/>
      <c r="J6" s="15"/>
      <c r="K6" s="12"/>
      <c r="L6" s="12"/>
      <c r="M6" s="12"/>
    </row>
    <row r="7" spans="1:13">
      <c r="A7" s="13"/>
      <c r="B7" s="13"/>
      <c r="C7" s="13"/>
      <c r="D7" s="3"/>
      <c r="E7" s="3"/>
      <c r="F7" s="16"/>
      <c r="G7" s="3"/>
      <c r="H7" s="12" t="s">
        <v>6</v>
      </c>
      <c r="I7" s="15"/>
      <c r="J7" s="15"/>
      <c r="K7" s="12"/>
      <c r="L7" s="12"/>
      <c r="M7" s="12"/>
    </row>
    <row r="8" spans="1:13">
      <c r="A8" s="13" t="s">
        <v>7</v>
      </c>
      <c r="B8" s="13"/>
      <c r="C8" s="13"/>
      <c r="D8" s="17"/>
      <c r="E8" s="12"/>
      <c r="F8" s="14"/>
      <c r="G8" s="12"/>
      <c r="H8" s="12"/>
      <c r="I8" s="15"/>
      <c r="J8" s="15"/>
      <c r="K8" s="12"/>
      <c r="L8" s="12"/>
      <c r="M8" s="12"/>
    </row>
    <row r="9" ht="22.5" spans="1:13">
      <c r="A9" s="2" t="s">
        <v>8</v>
      </c>
      <c r="B9" s="2" t="s">
        <v>9</v>
      </c>
      <c r="C9" s="2" t="s">
        <v>10</v>
      </c>
      <c r="D9" s="18" t="s">
        <v>11</v>
      </c>
      <c r="E9" s="19" t="s">
        <v>12</v>
      </c>
      <c r="F9" s="6" t="s">
        <v>13</v>
      </c>
      <c r="G9" s="20" t="s">
        <v>14</v>
      </c>
      <c r="H9" s="7" t="s">
        <v>15</v>
      </c>
      <c r="I9" s="2" t="s">
        <v>16</v>
      </c>
      <c r="J9" s="2" t="s">
        <v>17</v>
      </c>
      <c r="K9" s="7" t="s">
        <v>18</v>
      </c>
      <c r="L9" s="7" t="s">
        <v>19</v>
      </c>
      <c r="M9" s="7" t="s">
        <v>20</v>
      </c>
    </row>
    <row r="10" spans="1:13">
      <c r="A10" s="21"/>
      <c r="B10" s="2" t="s">
        <v>21</v>
      </c>
      <c r="C10" s="2"/>
      <c r="D10" s="18"/>
      <c r="E10" s="19"/>
      <c r="F10" s="22" t="e">
        <f>SEP!K10</f>
        <v>#REF!</v>
      </c>
      <c r="G10" s="23" t="e">
        <f>D10+E10+F10</f>
        <v>#REF!</v>
      </c>
      <c r="H10" s="24"/>
      <c r="I10" s="25"/>
      <c r="J10" s="26" t="s">
        <v>229</v>
      </c>
      <c r="K10" s="7" t="e">
        <f>G10-H10</f>
        <v>#REF!</v>
      </c>
      <c r="L10" s="7"/>
      <c r="M10" s="7"/>
    </row>
    <row r="11" spans="1:13">
      <c r="A11" s="21"/>
      <c r="B11" s="2" t="s">
        <v>21</v>
      </c>
      <c r="C11" s="2"/>
      <c r="D11" s="18"/>
      <c r="E11" s="19"/>
      <c r="F11" s="22" t="e">
        <f>SEP!K11</f>
        <v>#REF!</v>
      </c>
      <c r="G11" s="23" t="e">
        <f t="shared" ref="G11:G31" si="0">D11+E11+F11</f>
        <v>#REF!</v>
      </c>
      <c r="H11" s="24"/>
      <c r="I11" s="25"/>
      <c r="J11" s="26" t="s">
        <v>229</v>
      </c>
      <c r="K11" s="7" t="e">
        <f t="shared" ref="K11:K12" si="1">G11-H11</f>
        <v>#REF!</v>
      </c>
      <c r="L11" s="7"/>
      <c r="M11" s="7"/>
    </row>
    <row r="12" s="1" customFormat="1" spans="1:13">
      <c r="A12" s="3">
        <v>1</v>
      </c>
      <c r="B12" s="3" t="s">
        <v>30</v>
      </c>
      <c r="C12" s="3"/>
      <c r="D12" s="27"/>
      <c r="E12" s="28"/>
      <c r="F12" s="22">
        <f>SEP!K12</f>
        <v>0</v>
      </c>
      <c r="G12" s="23">
        <f t="shared" si="0"/>
        <v>0</v>
      </c>
      <c r="H12" s="29"/>
      <c r="I12" s="30"/>
      <c r="J12" s="26" t="s">
        <v>229</v>
      </c>
      <c r="K12" s="31">
        <f t="shared" si="1"/>
        <v>0</v>
      </c>
      <c r="L12" s="31"/>
      <c r="M12" s="31"/>
    </row>
    <row r="13" spans="1:13">
      <c r="A13" s="21">
        <v>2</v>
      </c>
      <c r="B13" s="3" t="s">
        <v>167</v>
      </c>
      <c r="C13" s="82" t="s">
        <v>201</v>
      </c>
      <c r="D13" s="28"/>
      <c r="E13" s="28">
        <v>2500</v>
      </c>
      <c r="F13" s="22">
        <f>SEP!K13</f>
        <v>1000</v>
      </c>
      <c r="G13" s="23">
        <f t="shared" si="0"/>
        <v>3500</v>
      </c>
      <c r="H13" s="29"/>
      <c r="I13" s="33"/>
      <c r="J13" s="26" t="s">
        <v>229</v>
      </c>
      <c r="K13" s="31">
        <f t="shared" ref="K13:K31" si="2">G13-H13</f>
        <v>3500</v>
      </c>
      <c r="L13" s="34"/>
      <c r="M13" s="35"/>
    </row>
    <row r="14" spans="1:13">
      <c r="A14" s="21">
        <v>3</v>
      </c>
      <c r="B14" s="3" t="s">
        <v>93</v>
      </c>
      <c r="C14" s="82" t="s">
        <v>169</v>
      </c>
      <c r="D14" s="28"/>
      <c r="E14" s="28">
        <v>2500</v>
      </c>
      <c r="F14" s="22">
        <f>SEP!K14</f>
        <v>1200</v>
      </c>
      <c r="G14" s="23">
        <f t="shared" si="0"/>
        <v>3700</v>
      </c>
      <c r="H14" s="36"/>
      <c r="I14" s="33"/>
      <c r="J14" s="26" t="s">
        <v>229</v>
      </c>
      <c r="K14" s="31">
        <f t="shared" si="2"/>
        <v>3700</v>
      </c>
      <c r="L14" s="34"/>
      <c r="M14" s="35"/>
    </row>
    <row r="15" spans="1:13">
      <c r="A15" s="21">
        <v>4</v>
      </c>
      <c r="B15" s="3" t="s">
        <v>119</v>
      </c>
      <c r="C15" s="82" t="s">
        <v>120</v>
      </c>
      <c r="D15" s="28"/>
      <c r="E15" s="28">
        <v>2500</v>
      </c>
      <c r="F15" s="22">
        <f>SEP!K15</f>
        <v>300</v>
      </c>
      <c r="G15" s="23">
        <f t="shared" si="0"/>
        <v>2800</v>
      </c>
      <c r="H15" s="36"/>
      <c r="I15" s="33"/>
      <c r="J15" s="26" t="s">
        <v>229</v>
      </c>
      <c r="K15" s="31">
        <f t="shared" si="2"/>
        <v>2800</v>
      </c>
      <c r="L15" s="34"/>
      <c r="M15" s="35"/>
    </row>
    <row r="16" spans="1:13">
      <c r="A16" s="21">
        <v>5</v>
      </c>
      <c r="B16" s="3" t="s">
        <v>31</v>
      </c>
      <c r="C16" s="82" t="s">
        <v>205</v>
      </c>
      <c r="D16" s="28"/>
      <c r="E16" s="28">
        <v>2500</v>
      </c>
      <c r="F16" s="22">
        <f>SEP!K16</f>
        <v>0</v>
      </c>
      <c r="G16" s="23">
        <f t="shared" si="0"/>
        <v>2500</v>
      </c>
      <c r="H16" s="36"/>
      <c r="I16" s="33"/>
      <c r="J16" s="26" t="s">
        <v>229</v>
      </c>
      <c r="K16" s="31">
        <f t="shared" si="2"/>
        <v>2500</v>
      </c>
      <c r="L16" s="34"/>
      <c r="M16" s="35"/>
    </row>
    <row r="17" spans="1:15">
      <c r="A17" s="21">
        <v>6</v>
      </c>
      <c r="B17" s="3" t="s">
        <v>123</v>
      </c>
      <c r="C17" s="32"/>
      <c r="D17" s="28"/>
      <c r="E17" s="28">
        <v>2500</v>
      </c>
      <c r="F17" s="22">
        <f>SEP!K17</f>
        <v>0</v>
      </c>
      <c r="G17" s="23">
        <f t="shared" si="0"/>
        <v>2500</v>
      </c>
      <c r="H17" s="36"/>
      <c r="I17" s="33"/>
      <c r="J17" s="26" t="s">
        <v>229</v>
      </c>
      <c r="K17" s="31">
        <f t="shared" si="2"/>
        <v>2500</v>
      </c>
      <c r="L17" s="34"/>
      <c r="M17" s="35"/>
    </row>
    <row r="18" spans="1:15">
      <c r="A18" s="21">
        <v>7</v>
      </c>
      <c r="B18" s="3" t="s">
        <v>125</v>
      </c>
      <c r="C18" s="82" t="s">
        <v>35</v>
      </c>
      <c r="D18" s="28"/>
      <c r="E18" s="28">
        <v>2500</v>
      </c>
      <c r="F18" s="22">
        <f>SEP!K18</f>
        <v>400</v>
      </c>
      <c r="G18" s="23">
        <f t="shared" si="0"/>
        <v>2900</v>
      </c>
      <c r="H18" s="36"/>
      <c r="I18" s="33"/>
      <c r="J18" s="26" t="s">
        <v>229</v>
      </c>
      <c r="K18" s="31">
        <f t="shared" si="2"/>
        <v>2900</v>
      </c>
      <c r="L18" s="34"/>
      <c r="M18" s="35"/>
      <c r="O18" t="s">
        <v>37</v>
      </c>
    </row>
    <row r="19" spans="1:15">
      <c r="A19" s="21">
        <v>8</v>
      </c>
      <c r="B19" s="3" t="s">
        <v>174</v>
      </c>
      <c r="C19" s="82" t="s">
        <v>209</v>
      </c>
      <c r="D19" s="28"/>
      <c r="E19" s="28">
        <v>2500</v>
      </c>
      <c r="F19" s="22">
        <f>SEP!K19</f>
        <v>0</v>
      </c>
      <c r="G19" s="23">
        <f t="shared" si="0"/>
        <v>2500</v>
      </c>
      <c r="H19" s="29"/>
      <c r="I19" s="33"/>
      <c r="J19" s="26" t="s">
        <v>229</v>
      </c>
      <c r="K19" s="31">
        <f t="shared" si="2"/>
        <v>2500</v>
      </c>
      <c r="L19" s="34"/>
      <c r="M19" s="35"/>
    </row>
    <row r="20" spans="1:15">
      <c r="A20" s="21">
        <v>9</v>
      </c>
      <c r="B20" s="3" t="s">
        <v>145</v>
      </c>
      <c r="C20" s="82" t="s">
        <v>211</v>
      </c>
      <c r="D20" s="28"/>
      <c r="E20" s="28">
        <v>2500</v>
      </c>
      <c r="F20" s="22">
        <f>SEP!K20</f>
        <v>0</v>
      </c>
      <c r="G20" s="23">
        <f t="shared" si="0"/>
        <v>2500</v>
      </c>
      <c r="H20" s="29"/>
      <c r="I20" s="33"/>
      <c r="J20" s="26" t="s">
        <v>229</v>
      </c>
      <c r="K20" s="31">
        <f t="shared" si="2"/>
        <v>2500</v>
      </c>
      <c r="L20" s="34"/>
      <c r="M20" s="35"/>
    </row>
    <row r="21" spans="1:15">
      <c r="A21" s="21">
        <v>10</v>
      </c>
      <c r="B21" s="3" t="s">
        <v>213</v>
      </c>
      <c r="C21" s="32"/>
      <c r="D21" s="28"/>
      <c r="E21" s="28">
        <v>2500</v>
      </c>
      <c r="F21" s="22">
        <f>SEP!K21</f>
        <v>0</v>
      </c>
      <c r="G21" s="23">
        <f t="shared" si="0"/>
        <v>2500</v>
      </c>
      <c r="H21" s="29"/>
      <c r="I21" s="33"/>
      <c r="J21" s="26" t="s">
        <v>229</v>
      </c>
      <c r="K21" s="31">
        <f t="shared" si="2"/>
        <v>2500</v>
      </c>
      <c r="L21" s="34"/>
      <c r="M21" s="35"/>
    </row>
    <row r="22" spans="1:15">
      <c r="A22" s="21">
        <v>11</v>
      </c>
      <c r="B22" s="3" t="s">
        <v>40</v>
      </c>
      <c r="C22" s="82" t="s">
        <v>41</v>
      </c>
      <c r="D22" s="28"/>
      <c r="E22" s="28">
        <v>2200</v>
      </c>
      <c r="F22" s="22">
        <f>SEP!K22</f>
        <v>0</v>
      </c>
      <c r="G22" s="23">
        <f t="shared" si="0"/>
        <v>2200</v>
      </c>
      <c r="H22" s="36"/>
      <c r="I22" s="33"/>
      <c r="J22" s="26" t="s">
        <v>229</v>
      </c>
      <c r="K22" s="31">
        <f t="shared" si="2"/>
        <v>2200</v>
      </c>
      <c r="L22" s="34"/>
      <c r="M22" s="35"/>
    </row>
    <row r="23" spans="1:15">
      <c r="A23" s="21">
        <v>12</v>
      </c>
      <c r="B23" s="3" t="s">
        <v>180</v>
      </c>
      <c r="C23" s="82" t="s">
        <v>216</v>
      </c>
      <c r="D23" s="28"/>
      <c r="E23" s="28">
        <v>2500</v>
      </c>
      <c r="F23" s="22">
        <f>SEP!K23</f>
        <v>0</v>
      </c>
      <c r="G23" s="23">
        <f t="shared" si="0"/>
        <v>2500</v>
      </c>
      <c r="H23" s="29"/>
      <c r="I23" s="33"/>
      <c r="J23" s="26" t="s">
        <v>229</v>
      </c>
      <c r="K23" s="31">
        <f t="shared" si="2"/>
        <v>2500</v>
      </c>
      <c r="L23" s="34"/>
      <c r="M23" s="35"/>
    </row>
    <row r="24" spans="1:15">
      <c r="A24" s="21">
        <v>13</v>
      </c>
      <c r="B24" s="3" t="s">
        <v>46</v>
      </c>
      <c r="C24" s="82" t="s">
        <v>217</v>
      </c>
      <c r="D24" s="28"/>
      <c r="E24" s="28">
        <v>2500</v>
      </c>
      <c r="F24" s="22">
        <f>SEP!K24</f>
        <v>2500</v>
      </c>
      <c r="G24" s="23">
        <f t="shared" si="0"/>
        <v>5000</v>
      </c>
      <c r="H24" s="29"/>
      <c r="I24" s="33"/>
      <c r="J24" s="26" t="s">
        <v>229</v>
      </c>
      <c r="K24" s="31">
        <f t="shared" si="2"/>
        <v>5000</v>
      </c>
      <c r="L24" s="34"/>
      <c r="M24" s="35"/>
    </row>
    <row r="25" spans="1:15">
      <c r="A25" s="21">
        <v>14</v>
      </c>
      <c r="B25" s="3" t="s">
        <v>132</v>
      </c>
      <c r="C25" s="82" t="s">
        <v>219</v>
      </c>
      <c r="D25" s="28"/>
      <c r="E25" s="28">
        <v>2500</v>
      </c>
      <c r="F25" s="22">
        <f>SEP!K25</f>
        <v>-5000</v>
      </c>
      <c r="G25" s="23">
        <f t="shared" si="0"/>
        <v>-2500</v>
      </c>
      <c r="H25" s="29"/>
      <c r="I25" s="33"/>
      <c r="J25" s="26" t="s">
        <v>229</v>
      </c>
      <c r="K25" s="31">
        <f t="shared" si="2"/>
        <v>-2500</v>
      </c>
      <c r="L25" s="34"/>
      <c r="M25" s="35"/>
    </row>
    <row r="26" spans="1:15">
      <c r="A26" s="21">
        <v>15</v>
      </c>
      <c r="B26" s="3" t="s">
        <v>183</v>
      </c>
      <c r="C26" s="82" t="s">
        <v>184</v>
      </c>
      <c r="D26" s="28"/>
      <c r="E26" s="28">
        <v>2500</v>
      </c>
      <c r="F26" s="22">
        <f>SEP!K26</f>
        <v>-1000</v>
      </c>
      <c r="G26" s="23">
        <f t="shared" si="0"/>
        <v>1500</v>
      </c>
      <c r="H26" s="29"/>
      <c r="I26" s="33"/>
      <c r="J26" s="26" t="s">
        <v>229</v>
      </c>
      <c r="K26" s="31">
        <f t="shared" si="2"/>
        <v>1500</v>
      </c>
      <c r="L26" s="34"/>
      <c r="M26" s="35"/>
    </row>
    <row r="27" spans="1:15">
      <c r="A27" s="84" t="s">
        <v>51</v>
      </c>
      <c r="B27" s="3" t="s">
        <v>52</v>
      </c>
      <c r="C27" s="82" t="s">
        <v>53</v>
      </c>
      <c r="D27" s="28"/>
      <c r="E27" s="28">
        <v>3000</v>
      </c>
      <c r="F27" s="22">
        <f>SEP!K27</f>
        <v>0</v>
      </c>
      <c r="G27" s="23">
        <f t="shared" si="0"/>
        <v>3000</v>
      </c>
      <c r="H27" s="36"/>
      <c r="I27" s="33"/>
      <c r="J27" s="26" t="s">
        <v>229</v>
      </c>
      <c r="K27" s="31">
        <f t="shared" si="2"/>
        <v>3000</v>
      </c>
      <c r="L27" s="34"/>
      <c r="M27" s="35"/>
    </row>
    <row r="28" spans="1:15">
      <c r="A28" s="21">
        <v>17</v>
      </c>
      <c r="B28" s="3" t="s">
        <v>21</v>
      </c>
      <c r="C28" s="32"/>
      <c r="D28" s="28"/>
      <c r="E28" s="28"/>
      <c r="F28" s="22">
        <f>SEP!K28</f>
        <v>0</v>
      </c>
      <c r="G28" s="23">
        <f t="shared" si="0"/>
        <v>0</v>
      </c>
      <c r="H28" s="29"/>
      <c r="I28" s="33"/>
      <c r="J28" s="26" t="s">
        <v>229</v>
      </c>
      <c r="K28" s="31">
        <f t="shared" si="2"/>
        <v>0</v>
      </c>
      <c r="L28" s="34"/>
      <c r="M28" s="35"/>
    </row>
    <row r="29" spans="1:15">
      <c r="A29" s="21">
        <v>18</v>
      </c>
      <c r="B29" s="3" t="s">
        <v>222</v>
      </c>
      <c r="C29" s="82" t="s">
        <v>223</v>
      </c>
      <c r="D29" s="28"/>
      <c r="E29" s="28">
        <v>2500</v>
      </c>
      <c r="F29" s="22">
        <f>SEP!K29</f>
        <v>0</v>
      </c>
      <c r="G29" s="23">
        <f t="shared" si="0"/>
        <v>2500</v>
      </c>
      <c r="H29" s="29"/>
      <c r="I29" s="33"/>
      <c r="J29" s="26" t="s">
        <v>229</v>
      </c>
      <c r="K29" s="31">
        <f t="shared" si="2"/>
        <v>2500</v>
      </c>
      <c r="L29" s="34"/>
      <c r="M29" s="35"/>
    </row>
    <row r="30" spans="1:15">
      <c r="A30" s="21">
        <v>19</v>
      </c>
      <c r="B30" s="3" t="s">
        <v>224</v>
      </c>
      <c r="C30" s="82" t="s">
        <v>225</v>
      </c>
      <c r="D30" s="28"/>
      <c r="E30" s="28">
        <v>2500</v>
      </c>
      <c r="F30" s="22">
        <f>SEP!K30</f>
        <v>-2500</v>
      </c>
      <c r="G30" s="23">
        <f t="shared" si="0"/>
        <v>0</v>
      </c>
      <c r="H30" s="36"/>
      <c r="I30" s="38"/>
      <c r="J30" s="26" t="s">
        <v>229</v>
      </c>
      <c r="K30" s="31">
        <f t="shared" si="2"/>
        <v>0</v>
      </c>
      <c r="L30" s="34"/>
      <c r="M30" s="35"/>
    </row>
    <row r="31" spans="1:15">
      <c r="A31" s="21">
        <v>21</v>
      </c>
      <c r="B31" s="39" t="s">
        <v>59</v>
      </c>
      <c r="C31" s="82" t="s">
        <v>60</v>
      </c>
      <c r="D31" s="28"/>
      <c r="E31" s="28">
        <v>2500</v>
      </c>
      <c r="F31" s="22">
        <f>SEP!K31</f>
        <v>2500</v>
      </c>
      <c r="G31" s="23">
        <f t="shared" si="0"/>
        <v>5000</v>
      </c>
      <c r="H31" s="29"/>
      <c r="I31" s="25"/>
      <c r="J31" s="26" t="s">
        <v>229</v>
      </c>
      <c r="K31" s="31">
        <f t="shared" si="2"/>
        <v>5000</v>
      </c>
      <c r="L31" s="34"/>
      <c r="M31" s="35"/>
    </row>
    <row r="32" spans="1:15">
      <c r="A32" s="2"/>
      <c r="B32" s="39"/>
      <c r="C32" s="32"/>
      <c r="D32" s="40">
        <f>SUM(D13:D30)</f>
        <v>0</v>
      </c>
      <c r="E32" s="40">
        <f>SUM(E10:E31)</f>
        <v>45200</v>
      </c>
      <c r="F32" s="40" t="e">
        <f>SUM(F10:F31)</f>
        <v>#REF!</v>
      </c>
      <c r="G32" s="40" t="e">
        <f>SUM(G10:G31)</f>
        <v>#REF!</v>
      </c>
      <c r="H32" s="40">
        <f>SUM(H10:H31)</f>
        <v>0</v>
      </c>
      <c r="I32" s="40"/>
      <c r="J32" s="40">
        <f>SUM(J13:J30)</f>
        <v>0</v>
      </c>
      <c r="K32" s="40" t="e">
        <f>SUM(K10:K31)</f>
        <v>#REF!</v>
      </c>
      <c r="L32" s="41"/>
      <c r="M32" s="41"/>
    </row>
    <row r="33" spans="1:13">
      <c r="A33" s="42" t="s">
        <v>62</v>
      </c>
      <c r="B33" s="3"/>
      <c r="C33" s="32"/>
      <c r="D33" s="43"/>
      <c r="E33" s="44"/>
      <c r="F33" s="45"/>
      <c r="G33" s="44"/>
      <c r="H33" s="44"/>
      <c r="I33" s="2"/>
      <c r="J33" s="2"/>
      <c r="K33" s="44"/>
      <c r="L33" s="44"/>
      <c r="M33" s="44"/>
    </row>
    <row r="34" spans="1:13">
      <c r="A34" s="46" t="s">
        <v>63</v>
      </c>
      <c r="B34" s="3"/>
      <c r="C34" s="32"/>
      <c r="D34" s="43"/>
      <c r="E34" s="44"/>
      <c r="F34" s="45"/>
      <c r="G34" s="44"/>
      <c r="H34" s="44"/>
      <c r="I34" s="2"/>
      <c r="J34" s="2"/>
      <c r="K34" s="44"/>
      <c r="L34" s="44"/>
      <c r="M34" s="44"/>
    </row>
    <row r="35" spans="1:13">
      <c r="A35" s="3" t="s">
        <v>64</v>
      </c>
      <c r="B35" s="3"/>
      <c r="C35" s="32"/>
      <c r="D35" s="3"/>
      <c r="E35" s="3"/>
      <c r="F35" s="16"/>
      <c r="G35" s="3"/>
      <c r="H35" s="47">
        <f>H32*10%</f>
        <v>0</v>
      </c>
      <c r="I35" s="3"/>
      <c r="J35" s="3"/>
      <c r="K35" s="3"/>
      <c r="L35" s="13"/>
      <c r="M35" s="3"/>
    </row>
    <row r="36" spans="1:13">
      <c r="A36" s="3" t="s">
        <v>151</v>
      </c>
      <c r="B36" s="3"/>
      <c r="C36" s="32"/>
      <c r="D36" s="3"/>
      <c r="E36" s="3"/>
      <c r="F36" s="16"/>
      <c r="G36" s="3"/>
      <c r="H36" s="47"/>
      <c r="I36" s="3"/>
      <c r="J36" s="3"/>
      <c r="K36" s="3"/>
      <c r="L36" s="13"/>
      <c r="M36" s="3"/>
    </row>
    <row r="37" spans="1:13">
      <c r="A37" s="3" t="s">
        <v>66</v>
      </c>
      <c r="B37" s="3"/>
      <c r="C37" s="32"/>
      <c r="D37" s="3"/>
      <c r="E37" s="3"/>
      <c r="F37" s="16"/>
      <c r="G37" s="3"/>
      <c r="H37" s="47"/>
      <c r="I37" s="3"/>
      <c r="J37" s="3"/>
      <c r="K37" s="3"/>
      <c r="L37" s="13"/>
      <c r="M37" s="3"/>
    </row>
    <row r="38" spans="1:13">
      <c r="A38" s="13" t="s">
        <v>67</v>
      </c>
      <c r="B38" s="13"/>
      <c r="C38" s="13"/>
      <c r="D38" s="13"/>
      <c r="E38" s="13"/>
      <c r="F38" s="48"/>
      <c r="G38" s="13"/>
      <c r="H38" s="49">
        <f>SUM(H35:H37)</f>
        <v>0</v>
      </c>
      <c r="I38" s="13"/>
      <c r="J38" s="3"/>
      <c r="K38" s="13"/>
      <c r="L38" s="13"/>
      <c r="M38" s="13"/>
    </row>
    <row r="39" spans="1:13">
      <c r="A39" s="3" t="s">
        <v>68</v>
      </c>
      <c r="B39" s="3"/>
      <c r="C39" s="3"/>
      <c r="D39" s="3"/>
      <c r="E39" s="3"/>
      <c r="F39" s="16"/>
      <c r="G39" s="3"/>
      <c r="H39" s="50">
        <f>SEP!K40</f>
        <v>7790</v>
      </c>
      <c r="I39" s="51" t="s">
        <v>69</v>
      </c>
      <c r="J39" s="51" t="s">
        <v>70</v>
      </c>
      <c r="K39" s="51" t="s">
        <v>71</v>
      </c>
      <c r="L39" s="52"/>
      <c r="M39" s="52"/>
    </row>
    <row r="40" ht="15.75" spans="1:13">
      <c r="A40" s="2" t="s">
        <v>72</v>
      </c>
      <c r="B40" s="2"/>
      <c r="C40" s="2"/>
      <c r="D40" s="2"/>
      <c r="E40" s="2"/>
      <c r="F40" s="45"/>
      <c r="G40" s="13"/>
      <c r="H40" s="53">
        <f>H32-H38+H39</f>
        <v>7790</v>
      </c>
      <c r="I40" s="48"/>
      <c r="J40" s="48"/>
      <c r="K40" s="54">
        <f>H40-I40-J40</f>
        <v>7790</v>
      </c>
      <c r="L40" s="52"/>
      <c r="M40" s="52"/>
    </row>
    <row r="41" ht="15.75" spans="1:13">
      <c r="A41" s="3" t="s">
        <v>73</v>
      </c>
      <c r="B41" s="3"/>
      <c r="C41" s="3"/>
      <c r="D41" s="3"/>
      <c r="E41" s="3"/>
      <c r="F41" s="16"/>
      <c r="G41" s="3"/>
      <c r="H41" s="3"/>
      <c r="I41" s="3"/>
      <c r="J41" s="3"/>
      <c r="K41" s="55">
        <v>46326</v>
      </c>
      <c r="L41" s="56"/>
      <c r="M41" s="55"/>
    </row>
    <row r="42" spans="1:13">
      <c r="H42" s="57"/>
    </row>
    <row r="45" spans="1:13">
      <c r="H45" t="e">
        <f>H32/G32*100</f>
        <v>#REF!</v>
      </c>
    </row>
    <row r="46" spans="1:13">
      <c r="I46">
        <f>6658-3980</f>
        <v>2678</v>
      </c>
    </row>
    <row r="50" spans="8:17">
      <c r="Q50" t="s">
        <v>74</v>
      </c>
    </row>
    <row r="51" spans="8:17">
      <c r="H51" t="s">
        <v>75</v>
      </c>
      <c r="I51" s="57" t="e">
        <f>H13+#REF!+H14+H18+H22+H25+H26+H27+H30+#REF!+4700</f>
        <v>#REF!</v>
      </c>
    </row>
    <row r="52" spans="8:17">
      <c r="H52" t="s">
        <v>76</v>
      </c>
      <c r="I52" s="57">
        <f>H15+300</f>
        <v>300</v>
      </c>
    </row>
  </sheetData>
  <mergeCells count="1">
    <mergeCell ref="A3:K3"/>
  </mergeCells>
  <pageMargins left="0.25" right="0.25" top="0.75" bottom="0.75" header="0.3" footer="0.3"/>
  <pageSetup paperSize="1" scale="6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JAN</vt:lpstr>
      <vt:lpstr>FEB</vt:lpstr>
      <vt:lpstr>MAR</vt:lpstr>
      <vt:lpstr>APR</vt:lpstr>
      <vt:lpstr>MAY</vt:lpstr>
      <vt:lpstr>JUNE</vt:lpstr>
      <vt:lpstr>JULY</vt:lpstr>
      <vt:lpstr>AUG</vt:lpstr>
      <vt:lpstr>SEP</vt:lpstr>
      <vt:lpstr>OCT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Lobby Managers</dc:creator>
  <cp:lastModifiedBy>George Ongoro</cp:lastModifiedBy>
  <dcterms:created xsi:type="dcterms:W3CDTF">2026-01-04T10:24:00Z</dcterms:created>
  <cp:lastPrinted>2026-10-01T09:28:00Z</cp:lastPrinted>
  <dcterms:modified xsi:type="dcterms:W3CDTF">2026-10-04T16:31:13Z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A3F8323FFB8B4143A73AD081B8047EF4_12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
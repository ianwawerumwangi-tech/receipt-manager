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n\Downloads\"/>
    </mc:Choice>
  </mc:AlternateContent>
  <xr:revisionPtr revIDLastSave="0" documentId="8_{F6317940-726A-4BF7-9E61-10B08EDD4D3C}" xr6:coauthVersionLast="45" xr6:coauthVersionMax="45" xr10:uidLastSave="{00000000-0000-0000-0000-000000000000}"/>
  <bookViews>
    <workbookView xWindow="-120" yWindow="-120" windowWidth="20730" windowHeight="11160" activeTab="6" xr2:uid="{8E970943-FF92-44B4-AC5A-9D37C0F95493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7" l="1"/>
  <c r="K16" i="7" s="1"/>
  <c r="H27" i="7"/>
  <c r="H28" i="7"/>
  <c r="K28" i="7" s="1"/>
  <c r="H11" i="7"/>
  <c r="H22" i="7"/>
  <c r="H21" i="7"/>
  <c r="H20" i="7"/>
  <c r="H15" i="7"/>
  <c r="K15" i="7" s="1"/>
  <c r="K12" i="7"/>
  <c r="K13" i="7"/>
  <c r="K14" i="7"/>
  <c r="K17" i="7"/>
  <c r="K18" i="7"/>
  <c r="K19" i="7"/>
  <c r="K20" i="7"/>
  <c r="K21" i="7"/>
  <c r="K23" i="7"/>
  <c r="K24" i="7"/>
  <c r="K25" i="7"/>
  <c r="K26" i="7"/>
  <c r="K27" i="7"/>
  <c r="K29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H25" i="7"/>
  <c r="H35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11" i="7"/>
  <c r="G11" i="7" s="1"/>
  <c r="E30" i="7"/>
  <c r="H25" i="6"/>
  <c r="H17" i="6"/>
  <c r="H18" i="6"/>
  <c r="H16" i="6"/>
  <c r="H23" i="6"/>
  <c r="H22" i="6"/>
  <c r="H12" i="6"/>
  <c r="H27" i="6"/>
  <c r="H28" i="6"/>
  <c r="H14" i="6"/>
  <c r="H15" i="6"/>
  <c r="H20" i="6"/>
  <c r="H21" i="6"/>
  <c r="G11" i="6"/>
  <c r="F26" i="6"/>
  <c r="G26" i="6" s="1"/>
  <c r="K26" i="6" s="1"/>
  <c r="F29" i="6"/>
  <c r="G29" i="6" s="1"/>
  <c r="E30" i="6"/>
  <c r="H25" i="5"/>
  <c r="H22" i="5"/>
  <c r="H17" i="5"/>
  <c r="H18" i="5"/>
  <c r="H23" i="5"/>
  <c r="H12" i="5"/>
  <c r="H30" i="5" s="1"/>
  <c r="H32" i="5" s="1"/>
  <c r="H34" i="5" s="1"/>
  <c r="H16" i="5"/>
  <c r="H27" i="5"/>
  <c r="H14" i="5"/>
  <c r="H15" i="5"/>
  <c r="H28" i="5"/>
  <c r="H20" i="5"/>
  <c r="H21" i="5"/>
  <c r="F29" i="5"/>
  <c r="G29" i="5" s="1"/>
  <c r="E30" i="5"/>
  <c r="H17" i="4"/>
  <c r="H13" i="4"/>
  <c r="H33" i="4" s="1"/>
  <c r="H23" i="4"/>
  <c r="H22" i="4"/>
  <c r="H18" i="4"/>
  <c r="H25" i="4"/>
  <c r="H27" i="4"/>
  <c r="H14" i="4"/>
  <c r="H16" i="4"/>
  <c r="H28" i="4"/>
  <c r="H15" i="4"/>
  <c r="H20" i="4"/>
  <c r="H12" i="4"/>
  <c r="H30" i="4" s="1"/>
  <c r="H32" i="4" s="1"/>
  <c r="H21" i="4"/>
  <c r="F29" i="4"/>
  <c r="G29" i="4" s="1"/>
  <c r="F41" i="4"/>
  <c r="E30" i="4"/>
  <c r="H25" i="3"/>
  <c r="H11" i="3"/>
  <c r="H12" i="3"/>
  <c r="H13" i="3"/>
  <c r="H33" i="3" s="1"/>
  <c r="H14" i="3"/>
  <c r="H15" i="3"/>
  <c r="H16" i="3"/>
  <c r="H17" i="3"/>
  <c r="H18" i="3"/>
  <c r="H20" i="3"/>
  <c r="H21" i="3"/>
  <c r="H22" i="3"/>
  <c r="H23" i="3"/>
  <c r="H27" i="3"/>
  <c r="H28" i="3"/>
  <c r="H12" i="2"/>
  <c r="H14" i="2"/>
  <c r="H15" i="2"/>
  <c r="H16" i="2"/>
  <c r="H18" i="2"/>
  <c r="H20" i="2"/>
  <c r="H21" i="2"/>
  <c r="H22" i="2"/>
  <c r="H23" i="2"/>
  <c r="H25" i="2"/>
  <c r="H27" i="2"/>
  <c r="H28" i="2"/>
  <c r="H33" i="2"/>
  <c r="H11" i="1"/>
  <c r="H12" i="1"/>
  <c r="H13" i="1"/>
  <c r="H33" i="1" s="1"/>
  <c r="H14" i="1"/>
  <c r="H15" i="1"/>
  <c r="H16" i="1"/>
  <c r="K16" i="1" s="1"/>
  <c r="F16" i="2" s="1"/>
  <c r="G16" i="2" s="1"/>
  <c r="K16" i="2" s="1"/>
  <c r="F16" i="3" s="1"/>
  <c r="G16" i="3" s="1"/>
  <c r="K16" i="3" s="1"/>
  <c r="F16" i="4" s="1"/>
  <c r="G16" i="4" s="1"/>
  <c r="K16" i="4" s="1"/>
  <c r="F16" i="5" s="1"/>
  <c r="G16" i="5" s="1"/>
  <c r="K16" i="5" s="1"/>
  <c r="F16" i="6" s="1"/>
  <c r="G16" i="6" s="1"/>
  <c r="K16" i="6" s="1"/>
  <c r="H18" i="1"/>
  <c r="H20" i="1"/>
  <c r="H21" i="1"/>
  <c r="H22" i="1"/>
  <c r="H23" i="1"/>
  <c r="H25" i="1"/>
  <c r="H27" i="1"/>
  <c r="H28" i="1"/>
  <c r="H35" i="1"/>
  <c r="F29" i="3"/>
  <c r="G29" i="3"/>
  <c r="F41" i="3"/>
  <c r="E30" i="3"/>
  <c r="F29" i="2"/>
  <c r="G29" i="2" s="1"/>
  <c r="F41" i="2"/>
  <c r="E30" i="2"/>
  <c r="G17" i="1"/>
  <c r="K17" i="1"/>
  <c r="F17" i="2" s="1"/>
  <c r="G17" i="2" s="1"/>
  <c r="K17" i="2" s="1"/>
  <c r="F17" i="3" s="1"/>
  <c r="G17" i="3" s="1"/>
  <c r="K17" i="3" s="1"/>
  <c r="F17" i="4" s="1"/>
  <c r="G17" i="4" s="1"/>
  <c r="K17" i="4" s="1"/>
  <c r="F17" i="5" s="1"/>
  <c r="G17" i="5" s="1"/>
  <c r="K17" i="5" s="1"/>
  <c r="F17" i="6" s="1"/>
  <c r="G17" i="6" s="1"/>
  <c r="G12" i="1"/>
  <c r="K12" i="1" s="1"/>
  <c r="F12" i="2" s="1"/>
  <c r="G12" i="2" s="1"/>
  <c r="K12" i="2"/>
  <c r="F12" i="3" s="1"/>
  <c r="G12" i="3" s="1"/>
  <c r="G13" i="1"/>
  <c r="K13" i="1" s="1"/>
  <c r="F13" i="2" s="1"/>
  <c r="G13" i="2" s="1"/>
  <c r="K13" i="2" s="1"/>
  <c r="G14" i="1"/>
  <c r="K14" i="1" s="1"/>
  <c r="F14" i="2" s="1"/>
  <c r="G14" i="2" s="1"/>
  <c r="K14" i="2" s="1"/>
  <c r="F14" i="3" s="1"/>
  <c r="G14" i="3" s="1"/>
  <c r="K14" i="3" s="1"/>
  <c r="F14" i="4" s="1"/>
  <c r="G14" i="4" s="1"/>
  <c r="K14" i="4" s="1"/>
  <c r="F14" i="5" s="1"/>
  <c r="G14" i="5" s="1"/>
  <c r="K14" i="5" s="1"/>
  <c r="F14" i="6" s="1"/>
  <c r="G14" i="6" s="1"/>
  <c r="G15" i="1"/>
  <c r="K15" i="1"/>
  <c r="F15" i="2" s="1"/>
  <c r="G15" i="2" s="1"/>
  <c r="K15" i="2" s="1"/>
  <c r="F15" i="3" s="1"/>
  <c r="G15" i="3" s="1"/>
  <c r="K15" i="3" s="1"/>
  <c r="F15" i="4" s="1"/>
  <c r="G15" i="4" s="1"/>
  <c r="K15" i="4" s="1"/>
  <c r="F15" i="5" s="1"/>
  <c r="G15" i="5" s="1"/>
  <c r="K15" i="5" s="1"/>
  <c r="F15" i="6" s="1"/>
  <c r="G15" i="6" s="1"/>
  <c r="G16" i="1"/>
  <c r="G18" i="1"/>
  <c r="G19" i="1"/>
  <c r="K19" i="1"/>
  <c r="F19" i="2" s="1"/>
  <c r="G19" i="2" s="1"/>
  <c r="K19" i="2" s="1"/>
  <c r="F19" i="3" s="1"/>
  <c r="G19" i="3" s="1"/>
  <c r="K19" i="3" s="1"/>
  <c r="F19" i="4" s="1"/>
  <c r="G19" i="4" s="1"/>
  <c r="K19" i="4" s="1"/>
  <c r="F19" i="5" s="1"/>
  <c r="G19" i="5" s="1"/>
  <c r="K19" i="5" s="1"/>
  <c r="F19" i="6" s="1"/>
  <c r="G19" i="6" s="1"/>
  <c r="K19" i="6" s="1"/>
  <c r="G20" i="1"/>
  <c r="K20" i="1" s="1"/>
  <c r="F20" i="2" s="1"/>
  <c r="G20" i="2" s="1"/>
  <c r="K20" i="2" s="1"/>
  <c r="F20" i="3" s="1"/>
  <c r="G20" i="3" s="1"/>
  <c r="K20" i="3" s="1"/>
  <c r="F20" i="4" s="1"/>
  <c r="G20" i="4" s="1"/>
  <c r="K20" i="4" s="1"/>
  <c r="F20" i="5" s="1"/>
  <c r="G20" i="5" s="1"/>
  <c r="K20" i="5" s="1"/>
  <c r="F20" i="6" s="1"/>
  <c r="G20" i="6" s="1"/>
  <c r="G21" i="1"/>
  <c r="G22" i="1"/>
  <c r="G23" i="1"/>
  <c r="G24" i="1"/>
  <c r="K24" i="1" s="1"/>
  <c r="F24" i="2" s="1"/>
  <c r="G24" i="2" s="1"/>
  <c r="K24" i="2" s="1"/>
  <c r="F24" i="3" s="1"/>
  <c r="G24" i="3" s="1"/>
  <c r="K24" i="3" s="1"/>
  <c r="F24" i="4" s="1"/>
  <c r="G24" i="4" s="1"/>
  <c r="K24" i="4" s="1"/>
  <c r="F24" i="5" s="1"/>
  <c r="G24" i="5" s="1"/>
  <c r="K24" i="5" s="1"/>
  <c r="F24" i="6" s="1"/>
  <c r="G24" i="6" s="1"/>
  <c r="K24" i="6" s="1"/>
  <c r="G25" i="1"/>
  <c r="K25" i="1" s="1"/>
  <c r="F25" i="2" s="1"/>
  <c r="G25" i="2" s="1"/>
  <c r="K25" i="2" s="1"/>
  <c r="F25" i="3" s="1"/>
  <c r="G25" i="3" s="1"/>
  <c r="K25" i="3" s="1"/>
  <c r="F25" i="4" s="1"/>
  <c r="G25" i="4" s="1"/>
  <c r="K25" i="4" s="1"/>
  <c r="F25" i="5" s="1"/>
  <c r="G25" i="5" s="1"/>
  <c r="K25" i="5" s="1"/>
  <c r="F25" i="6" s="1"/>
  <c r="G25" i="6" s="1"/>
  <c r="K25" i="6" s="1"/>
  <c r="G26" i="1"/>
  <c r="K26" i="1"/>
  <c r="F26" i="2" s="1"/>
  <c r="G26" i="2" s="1"/>
  <c r="K26" i="2" s="1"/>
  <c r="F26" i="3" s="1"/>
  <c r="G26" i="3" s="1"/>
  <c r="K26" i="3" s="1"/>
  <c r="F26" i="4" s="1"/>
  <c r="G26" i="4" s="1"/>
  <c r="K26" i="4" s="1"/>
  <c r="F26" i="5" s="1"/>
  <c r="G26" i="5" s="1"/>
  <c r="K26" i="5" s="1"/>
  <c r="G27" i="1"/>
  <c r="K27" i="1" s="1"/>
  <c r="F27" i="2" s="1"/>
  <c r="G27" i="2"/>
  <c r="K27" i="2" s="1"/>
  <c r="F27" i="3" s="1"/>
  <c r="G27" i="3" s="1"/>
  <c r="K27" i="3" s="1"/>
  <c r="F27" i="4" s="1"/>
  <c r="G27" i="4" s="1"/>
  <c r="K27" i="4" s="1"/>
  <c r="F27" i="5" s="1"/>
  <c r="G27" i="5" s="1"/>
  <c r="K27" i="5" s="1"/>
  <c r="F27" i="6" s="1"/>
  <c r="G27" i="6" s="1"/>
  <c r="K27" i="6" s="1"/>
  <c r="G28" i="1"/>
  <c r="G29" i="1"/>
  <c r="G11" i="1"/>
  <c r="K11" i="1" s="1"/>
  <c r="F30" i="1"/>
  <c r="F41" i="1"/>
  <c r="E30" i="1"/>
  <c r="G13" i="3"/>
  <c r="K13" i="3"/>
  <c r="F13" i="4" s="1"/>
  <c r="G13" i="4" s="1"/>
  <c r="K13" i="4" s="1"/>
  <c r="F13" i="5" s="1"/>
  <c r="G13" i="5" s="1"/>
  <c r="K13" i="5" s="1"/>
  <c r="F13" i="6" s="1"/>
  <c r="G13" i="6" s="1"/>
  <c r="K23" i="1"/>
  <c r="F23" i="2" s="1"/>
  <c r="G23" i="2" s="1"/>
  <c r="K23" i="2" s="1"/>
  <c r="F23" i="3" s="1"/>
  <c r="G23" i="3" s="1"/>
  <c r="K23" i="3" s="1"/>
  <c r="F23" i="4" s="1"/>
  <c r="G23" i="4" s="1"/>
  <c r="K23" i="4" s="1"/>
  <c r="F23" i="5" s="1"/>
  <c r="G23" i="5" s="1"/>
  <c r="K23" i="5" s="1"/>
  <c r="F23" i="6" s="1"/>
  <c r="G23" i="6" s="1"/>
  <c r="H30" i="7" l="1"/>
  <c r="H32" i="7" s="1"/>
  <c r="H34" i="7" s="1"/>
  <c r="H37" i="7" s="1"/>
  <c r="K37" i="7" s="1"/>
  <c r="K22" i="7"/>
  <c r="F30" i="7"/>
  <c r="K11" i="7"/>
  <c r="H30" i="3"/>
  <c r="K15" i="6"/>
  <c r="K28" i="1"/>
  <c r="F28" i="2" s="1"/>
  <c r="G28" i="2" s="1"/>
  <c r="K28" i="2" s="1"/>
  <c r="F28" i="3" s="1"/>
  <c r="G28" i="3" s="1"/>
  <c r="K28" i="3" s="1"/>
  <c r="F28" i="4" s="1"/>
  <c r="G28" i="4" s="1"/>
  <c r="K28" i="4" s="1"/>
  <c r="F28" i="5" s="1"/>
  <c r="G28" i="5" s="1"/>
  <c r="K28" i="5" s="1"/>
  <c r="F28" i="6" s="1"/>
  <c r="G28" i="6" s="1"/>
  <c r="H30" i="2"/>
  <c r="H32" i="2" s="1"/>
  <c r="H34" i="2" s="1"/>
  <c r="K23" i="6"/>
  <c r="K21" i="1"/>
  <c r="F21" i="2" s="1"/>
  <c r="G21" i="2" s="1"/>
  <c r="K21" i="2" s="1"/>
  <c r="F21" i="3" s="1"/>
  <c r="G21" i="3" s="1"/>
  <c r="K21" i="3" s="1"/>
  <c r="F21" i="4" s="1"/>
  <c r="G21" i="4" s="1"/>
  <c r="K21" i="4" s="1"/>
  <c r="F21" i="5" s="1"/>
  <c r="G21" i="5" s="1"/>
  <c r="K21" i="5" s="1"/>
  <c r="F21" i="6" s="1"/>
  <c r="G21" i="6" s="1"/>
  <c r="K21" i="6" s="1"/>
  <c r="K18" i="1"/>
  <c r="F18" i="2" s="1"/>
  <c r="G18" i="2" s="1"/>
  <c r="K18" i="2" s="1"/>
  <c r="F18" i="3" s="1"/>
  <c r="G18" i="3" s="1"/>
  <c r="K18" i="3" s="1"/>
  <c r="F18" i="4" s="1"/>
  <c r="G18" i="4" s="1"/>
  <c r="K18" i="4" s="1"/>
  <c r="F18" i="5" s="1"/>
  <c r="G18" i="5" s="1"/>
  <c r="K18" i="5" s="1"/>
  <c r="F18" i="6" s="1"/>
  <c r="G18" i="6" s="1"/>
  <c r="K18" i="6" s="1"/>
  <c r="K12" i="3"/>
  <c r="F12" i="4" s="1"/>
  <c r="G12" i="4" s="1"/>
  <c r="K12" i="4" s="1"/>
  <c r="F12" i="5" s="1"/>
  <c r="G12" i="5" s="1"/>
  <c r="K12" i="5" s="1"/>
  <c r="F12" i="6" s="1"/>
  <c r="G12" i="6" s="1"/>
  <c r="K12" i="6" s="1"/>
  <c r="K17" i="6"/>
  <c r="H30" i="6"/>
  <c r="K13" i="6"/>
  <c r="K14" i="6"/>
  <c r="K28" i="6"/>
  <c r="K20" i="6"/>
  <c r="F11" i="2"/>
  <c r="H34" i="4"/>
  <c r="H30" i="1"/>
  <c r="H32" i="3"/>
  <c r="H34" i="3" s="1"/>
  <c r="G30" i="1"/>
  <c r="K22" i="1"/>
  <c r="F22" i="2" s="1"/>
  <c r="G22" i="2" s="1"/>
  <c r="K22" i="2" s="1"/>
  <c r="F22" i="3" s="1"/>
  <c r="G22" i="3" s="1"/>
  <c r="K22" i="3" s="1"/>
  <c r="F22" i="4" s="1"/>
  <c r="G22" i="4" s="1"/>
  <c r="K22" i="4" s="1"/>
  <c r="F22" i="5" s="1"/>
  <c r="G22" i="5" s="1"/>
  <c r="K22" i="5" s="1"/>
  <c r="F22" i="6" s="1"/>
  <c r="G22" i="6" s="1"/>
  <c r="K22" i="6" s="1"/>
  <c r="K30" i="7" l="1"/>
  <c r="G30" i="7"/>
  <c r="H41" i="7" s="1"/>
  <c r="F30" i="6"/>
  <c r="H32" i="6"/>
  <c r="H34" i="6" s="1"/>
  <c r="G30" i="6"/>
  <c r="H41" i="6" s="1"/>
  <c r="K11" i="6"/>
  <c r="K30" i="6" s="1"/>
  <c r="G11" i="2"/>
  <c r="F30" i="2"/>
  <c r="H32" i="1"/>
  <c r="H34" i="1" s="1"/>
  <c r="H37" i="1" s="1"/>
  <c r="K37" i="1" s="1"/>
  <c r="H35" i="2" s="1"/>
  <c r="H37" i="2" s="1"/>
  <c r="K37" i="2" s="1"/>
  <c r="H35" i="3" s="1"/>
  <c r="H37" i="3" s="1"/>
  <c r="K37" i="3" s="1"/>
  <c r="H42" i="1"/>
  <c r="K30" i="1"/>
  <c r="H35" i="4" l="1"/>
  <c r="H37" i="4" s="1"/>
  <c r="K37" i="4" s="1"/>
  <c r="H35" i="5"/>
  <c r="H37" i="5" s="1"/>
  <c r="K37" i="5" s="1"/>
  <c r="H35" i="6" s="1"/>
  <c r="H37" i="6" s="1"/>
  <c r="K37" i="6" s="1"/>
  <c r="G30" i="2"/>
  <c r="H42" i="2" s="1"/>
  <c r="K11" i="2"/>
  <c r="K30" i="2" l="1"/>
  <c r="F11" i="3"/>
  <c r="F30" i="3" l="1"/>
  <c r="G11" i="3"/>
  <c r="G30" i="3" l="1"/>
  <c r="H42" i="3" s="1"/>
  <c r="K11" i="3"/>
  <c r="K30" i="3" l="1"/>
  <c r="F11" i="4"/>
  <c r="F30" i="4" l="1"/>
  <c r="G11" i="4"/>
  <c r="K11" i="4" l="1"/>
  <c r="G30" i="4"/>
  <c r="H42" i="4" s="1"/>
  <c r="K30" i="4" l="1"/>
  <c r="F11" i="5"/>
  <c r="G11" i="5" l="1"/>
  <c r="F30" i="5"/>
  <c r="K11" i="5" l="1"/>
  <c r="K30" i="5" s="1"/>
  <c r="G30" i="5"/>
</calcChain>
</file>

<file path=xl/sharedStrings.xml><?xml version="1.0" encoding="utf-8"?>
<sst xmlns="http://schemas.openxmlformats.org/spreadsheetml/2006/main" count="857" uniqueCount="176">
  <si>
    <t>LOBBY ENTERPRISES</t>
  </si>
  <si>
    <t xml:space="preserve">                                                        PROPERTY MANAGERS AND ESTATE AGENTS</t>
  </si>
  <si>
    <t>P.O.BOX 11987</t>
  </si>
  <si>
    <t>ANITA PLOT</t>
  </si>
  <si>
    <t>TEL : 0722711933/4454322</t>
  </si>
  <si>
    <t>A/C No '0630179417471</t>
  </si>
  <si>
    <t>Tel No</t>
  </si>
  <si>
    <t>Care taker</t>
  </si>
  <si>
    <t>ANITA</t>
  </si>
  <si>
    <t>Phone no</t>
  </si>
  <si>
    <t>HSE NO</t>
  </si>
  <si>
    <t>NAME</t>
  </si>
  <si>
    <t>PHONE NO</t>
  </si>
  <si>
    <t>DEPOSIT PAID</t>
  </si>
  <si>
    <t>MONTHLY RENT</t>
  </si>
  <si>
    <t>BAL B/D</t>
  </si>
  <si>
    <t>RENT DUE</t>
  </si>
  <si>
    <t>RENT PAID</t>
  </si>
  <si>
    <t>RCT NO</t>
  </si>
  <si>
    <t>PERIOD</t>
  </si>
  <si>
    <t>BALANCE</t>
  </si>
  <si>
    <t>STATUS</t>
  </si>
  <si>
    <t>FORMS</t>
  </si>
  <si>
    <t>RACHAEL</t>
  </si>
  <si>
    <t>0741311326</t>
  </si>
  <si>
    <t>SIGNED</t>
  </si>
  <si>
    <t>IMELDA</t>
  </si>
  <si>
    <t>'0707746822</t>
  </si>
  <si>
    <t>JOHN MUTEMBEI</t>
  </si>
  <si>
    <t>0113100973</t>
  </si>
  <si>
    <t>0720726146</t>
  </si>
  <si>
    <t>VACANT</t>
  </si>
  <si>
    <t>SUSAN WANJIKU</t>
  </si>
  <si>
    <t>0792878247</t>
  </si>
  <si>
    <t>VICTOR KIVUTSI</t>
  </si>
  <si>
    <t>0720788630</t>
  </si>
  <si>
    <t>10th</t>
  </si>
  <si>
    <t>ANNASTACIA</t>
  </si>
  <si>
    <t>0725869394</t>
  </si>
  <si>
    <t>CHEBITA OMBOGO /OSCAR</t>
  </si>
  <si>
    <t>0711275102</t>
  </si>
  <si>
    <t xml:space="preserve">BENARD MUTHUI </t>
  </si>
  <si>
    <t>0729369553</t>
  </si>
  <si>
    <t>DAVID THIANI</t>
  </si>
  <si>
    <t>0715806277</t>
  </si>
  <si>
    <t>MARY NYAMBURA(CHURCH)</t>
  </si>
  <si>
    <t>0722135696</t>
  </si>
  <si>
    <t>15TH</t>
  </si>
  <si>
    <t>Vacant</t>
  </si>
  <si>
    <t>ANNE WANJIRU</t>
  </si>
  <si>
    <t>0740712315</t>
  </si>
  <si>
    <t>IRENE MAKENA</t>
  </si>
  <si>
    <t>0719665779</t>
  </si>
  <si>
    <t>WILLIAM /GOEFREY</t>
  </si>
  <si>
    <t>0727561491</t>
  </si>
  <si>
    <t>Totals</t>
  </si>
  <si>
    <t>Deductions</t>
  </si>
  <si>
    <t>Less Management fees</t>
  </si>
  <si>
    <t>DIRECT</t>
  </si>
  <si>
    <t>TOTAL DEDUCTIONS</t>
  </si>
  <si>
    <t xml:space="preserve"> </t>
  </si>
  <si>
    <t>BAL B/F</t>
  </si>
  <si>
    <t>PAID</t>
  </si>
  <si>
    <t>Balance</t>
  </si>
  <si>
    <t>AMOUNT DUE</t>
  </si>
  <si>
    <t>AUTHORISED BY JOSEPH GITHINJI</t>
  </si>
  <si>
    <t xml:space="preserve">                                                                                    JAN 2026</t>
  </si>
  <si>
    <t>JAN</t>
  </si>
  <si>
    <t>UA4FX2Y578</t>
  </si>
  <si>
    <t>UA62231VSX</t>
  </si>
  <si>
    <t>UA75D33X6Y</t>
  </si>
  <si>
    <t>UAAC63GC1D</t>
  </si>
  <si>
    <t>UACKF3J5FZ</t>
  </si>
  <si>
    <t>UADQ23F0JD</t>
  </si>
  <si>
    <t>UAA7F3GUHD</t>
  </si>
  <si>
    <t>0799945987</t>
  </si>
  <si>
    <t>UAG4G481C0</t>
  </si>
  <si>
    <t>GEORGE OUCHA</t>
  </si>
  <si>
    <t>UAICC47UZY</t>
  </si>
  <si>
    <t>UA67F34H9W/UAJ7F4BZ8P</t>
  </si>
  <si>
    <t>ELIZABETH K</t>
  </si>
  <si>
    <t>UAEA53YFSY</t>
  </si>
  <si>
    <t>UAJ6U42AQY</t>
  </si>
  <si>
    <t>UAB233P67U/UAJ234CWXY/UA5235A3KH</t>
  </si>
  <si>
    <t>OFF</t>
  </si>
  <si>
    <t>FEB</t>
  </si>
  <si>
    <t xml:space="preserve">                                                                                    FEB 2026</t>
  </si>
  <si>
    <t>UB5FX5UJ92</t>
  </si>
  <si>
    <t>UB5225UYB</t>
  </si>
  <si>
    <t>ELIZABETH KURA</t>
  </si>
  <si>
    <t>UB9D966QO</t>
  </si>
  <si>
    <t>UBBQ260N71</t>
  </si>
  <si>
    <t>UBBKF6CJ5T</t>
  </si>
  <si>
    <t>UBBA56MTAH</t>
  </si>
  <si>
    <t>UBC6U6CO0N</t>
  </si>
  <si>
    <t>UBG4G77IND</t>
  </si>
  <si>
    <t>UB97F691S1/UBK7F7CTE2</t>
  </si>
  <si>
    <t>UBA5D69YYP</t>
  </si>
  <si>
    <t>UB2235NXZI/UBH2373ZL7/UBQ2381BBT</t>
  </si>
  <si>
    <t>ELIZABETH    OMUSE</t>
  </si>
  <si>
    <t>LOCKED</t>
  </si>
  <si>
    <t>MAR</t>
  </si>
  <si>
    <t xml:space="preserve">                                                                                    MAR 2026</t>
  </si>
  <si>
    <t>UC3Q27UVXU</t>
  </si>
  <si>
    <t>UC5FX8I8F6</t>
  </si>
  <si>
    <t>UC6228K0QL</t>
  </si>
  <si>
    <t>UC77F8QTPK</t>
  </si>
  <si>
    <t>UC96U8MK0D</t>
  </si>
  <si>
    <t>UCA5D8WIO5</t>
  </si>
  <si>
    <t>UCAKF8XTDJ</t>
  </si>
  <si>
    <t>NDUNGÚ KINUTHIA</t>
  </si>
  <si>
    <t>UC9658Y74R</t>
  </si>
  <si>
    <t>TENANT</t>
  </si>
  <si>
    <t>UCEA59KZD5</t>
  </si>
  <si>
    <t>UCFC69K6DP</t>
  </si>
  <si>
    <t>UC4G9YFDE</t>
  </si>
  <si>
    <t>UCOCCAG0C7</t>
  </si>
  <si>
    <t>APR</t>
  </si>
  <si>
    <t xml:space="preserve">                                                                                    APR 2026</t>
  </si>
  <si>
    <t>UD5FXBUAQJ</t>
  </si>
  <si>
    <t>UD72202YZY</t>
  </si>
  <si>
    <t>UDA7FF0GASF/UDC7F0QR6P</t>
  </si>
  <si>
    <t>UDA6U06H1T</t>
  </si>
  <si>
    <t>RCTD</t>
  </si>
  <si>
    <t>UDBKF0G6CG</t>
  </si>
  <si>
    <t>UDFA5197T4</t>
  </si>
  <si>
    <t>UDF2315XGY</t>
  </si>
  <si>
    <t>UCB7F95NK3/UCN7FABE79/UCT7FB292N</t>
  </si>
  <si>
    <t>UC3238IOZS/UCD239EE6/UD123BFR7F</t>
  </si>
  <si>
    <t>UD7Q2BJO2S</t>
  </si>
  <si>
    <t>UDA5D0AYI5</t>
  </si>
  <si>
    <t>UD77F07IB5</t>
  </si>
  <si>
    <t>UDG4G1KAZD</t>
  </si>
  <si>
    <t>MAY</t>
  </si>
  <si>
    <t xml:space="preserve">                                                                                    MAY 2026</t>
  </si>
  <si>
    <t>UEFX3GFZ0</t>
  </si>
  <si>
    <t>UE7223ENT8</t>
  </si>
  <si>
    <t>UE85D3I5W0</t>
  </si>
  <si>
    <t>UEA7F3Z6Q4</t>
  </si>
  <si>
    <t>UEB6U3N1Z0</t>
  </si>
  <si>
    <t>UEDKF43ZFP</t>
  </si>
  <si>
    <t>UEC7F45G8U/UED7F4BPJB</t>
  </si>
  <si>
    <t>UE8Q2348C2</t>
  </si>
  <si>
    <t>UEF4G4UV05</t>
  </si>
  <si>
    <t>UEHA551K5F</t>
  </si>
  <si>
    <t>UEJ654YU2V</t>
  </si>
  <si>
    <t>UE6233P9VD/UEL235C3PH/UEP2355H4L/UER2360O32</t>
  </si>
  <si>
    <t>OCT MESSAGE NOT ON STATEMENT</t>
  </si>
  <si>
    <t>REDUCING</t>
  </si>
  <si>
    <t>TO  EVICT</t>
  </si>
  <si>
    <t>JUNE</t>
  </si>
  <si>
    <t xml:space="preserve">                                                                                    JUNE 2026</t>
  </si>
  <si>
    <t>UF6FX749LX</t>
  </si>
  <si>
    <t>UF7226ZON5</t>
  </si>
  <si>
    <t>UF87F788QM</t>
  </si>
  <si>
    <t>UF86U6TW2Q</t>
  </si>
  <si>
    <t>UFA5D794YF</t>
  </si>
  <si>
    <t>UFBKF72T0</t>
  </si>
  <si>
    <t>UFG4G8N7UU</t>
  </si>
  <si>
    <t>UF97F7EZKA/UFG7F86BVX</t>
  </si>
  <si>
    <t>UFHA58LZHG</t>
  </si>
  <si>
    <t>UFN6590PTJ</t>
  </si>
  <si>
    <t>UF238JWEU/UFQ239KGLM</t>
  </si>
  <si>
    <t>UFBQ26W56S</t>
  </si>
  <si>
    <t>JULY</t>
  </si>
  <si>
    <t xml:space="preserve">                                                                                    JULY 2026</t>
  </si>
  <si>
    <t>UG323AEOIU</t>
  </si>
  <si>
    <t>UG67FAHDCH</t>
  </si>
  <si>
    <t>UG522A7J00</t>
  </si>
  <si>
    <t>UG5FXAH8AA</t>
  </si>
  <si>
    <t>UG6C6AKXF6</t>
  </si>
  <si>
    <t>EUGINE SIMIYU</t>
  </si>
  <si>
    <t>UG6K2AAEZX</t>
  </si>
  <si>
    <t>UG95DAL7VE</t>
  </si>
  <si>
    <t>UGAIAVHFO</t>
  </si>
  <si>
    <t>UGBCAWJLK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</si>
</sst>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8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8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3" fontId="2" fillId="0" borderId="1" xfId="1" applyFont="1" applyFill="1" applyBorder="1" applyAlignment="1">
      <alignment horizontal="left"/>
    </xf>
    <xf numFmtId="0" fontId="4" fillId="0" borderId="1" xfId="0" applyFont="1" applyBorder="1"/>
    <xf numFmtId="3" fontId="2" fillId="0" borderId="1" xfId="1" applyNumberFormat="1" applyFont="1" applyFill="1" applyBorder="1"/>
    <xf numFmtId="43" fontId="2" fillId="0" borderId="1" xfId="1" applyFont="1" applyFill="1" applyBorder="1"/>
    <xf numFmtId="0" fontId="2" fillId="0" borderId="1" xfId="1" applyNumberFormat="1" applyFont="1" applyFill="1" applyBorder="1" applyAlignment="1">
      <alignment wrapText="1"/>
    </xf>
    <xf numFmtId="0" fontId="2" fillId="0" borderId="1" xfId="1" applyNumberFormat="1" applyFont="1" applyFill="1" applyBorder="1"/>
    <xf numFmtId="43" fontId="4" fillId="0" borderId="1" xfId="1" applyFont="1" applyFill="1" applyBorder="1"/>
    <xf numFmtId="43" fontId="5" fillId="0" borderId="1" xfId="1" applyFont="1" applyFill="1" applyBorder="1"/>
    <xf numFmtId="0" fontId="6" fillId="0" borderId="0" xfId="0" applyFont="1"/>
    <xf numFmtId="0" fontId="7" fillId="0" borderId="1" xfId="0" applyFont="1" applyBorder="1"/>
    <xf numFmtId="43" fontId="8" fillId="0" borderId="1" xfId="1" applyFont="1" applyFill="1" applyBorder="1"/>
    <xf numFmtId="43" fontId="9" fillId="0" borderId="1" xfId="1" applyFont="1" applyFill="1" applyBorder="1"/>
    <xf numFmtId="0" fontId="8" fillId="0" borderId="1" xfId="0" applyFont="1" applyBorder="1"/>
    <xf numFmtId="3" fontId="8" fillId="0" borderId="1" xfId="1" applyNumberFormat="1" applyFont="1" applyFill="1" applyBorder="1"/>
    <xf numFmtId="0" fontId="8" fillId="0" borderId="1" xfId="1" applyNumberFormat="1" applyFont="1" applyFill="1" applyBorder="1" applyAlignment="1">
      <alignment wrapText="1"/>
    </xf>
    <xf numFmtId="0" fontId="8" fillId="0" borderId="1" xfId="1" applyNumberFormat="1" applyFont="1" applyFill="1" applyBorder="1"/>
    <xf numFmtId="43" fontId="8" fillId="0" borderId="1" xfId="1" applyFont="1" applyFill="1" applyBorder="1" applyAlignment="1">
      <alignment horizontal="left"/>
    </xf>
    <xf numFmtId="3" fontId="3" fillId="0" borderId="1" xfId="0" applyNumberFormat="1" applyFont="1" applyBorder="1"/>
    <xf numFmtId="43" fontId="2" fillId="0" borderId="1" xfId="1" applyFont="1" applyFill="1" applyBorder="1" applyAlignment="1">
      <alignment horizontal="right" wrapText="1"/>
    </xf>
    <xf numFmtId="43" fontId="2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quotePrefix="1" applyFont="1" applyBorder="1"/>
    <xf numFmtId="43" fontId="3" fillId="0" borderId="1" xfId="1" applyFont="1" applyFill="1" applyBorder="1" applyAlignment="1">
      <alignment horizontal="right"/>
    </xf>
    <xf numFmtId="37" fontId="3" fillId="0" borderId="1" xfId="1" applyNumberFormat="1" applyFont="1" applyFill="1" applyBorder="1"/>
    <xf numFmtId="164" fontId="3" fillId="0" borderId="1" xfId="0" applyNumberFormat="1" applyFont="1" applyBorder="1"/>
    <xf numFmtId="164" fontId="10" fillId="0" borderId="1" xfId="1" applyNumberFormat="1" applyFont="1" applyFill="1" applyBorder="1" applyAlignment="1">
      <alignment horizontal="left"/>
    </xf>
    <xf numFmtId="0" fontId="10" fillId="0" borderId="1" xfId="0" quotePrefix="1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/>
    </xf>
    <xf numFmtId="164" fontId="8" fillId="0" borderId="1" xfId="0" applyNumberFormat="1" applyFont="1" applyBorder="1"/>
    <xf numFmtId="0" fontId="10" fillId="0" borderId="1" xfId="0" applyFont="1" applyBorder="1"/>
    <xf numFmtId="164" fontId="3" fillId="0" borderId="1" xfId="1" applyNumberFormat="1" applyFont="1" applyFill="1" applyBorder="1" applyAlignment="1">
      <alignment horizontal="right"/>
    </xf>
    <xf numFmtId="164" fontId="3" fillId="0" borderId="1" xfId="1" applyNumberFormat="1" applyFont="1" applyFill="1" applyBorder="1" applyAlignment="1">
      <alignment horizontal="left"/>
    </xf>
    <xf numFmtId="165" fontId="6" fillId="0" borderId="0" xfId="0" applyNumberFormat="1" applyFont="1"/>
    <xf numFmtId="49" fontId="11" fillId="0" borderId="2" xfId="2" applyNumberFormat="1" applyBorder="1" applyAlignment="1">
      <alignment horizontal="left"/>
    </xf>
    <xf numFmtId="164" fontId="10" fillId="0" borderId="1" xfId="1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wrapText="1"/>
    </xf>
    <xf numFmtId="14" fontId="8" fillId="0" borderId="1" xfId="0" applyNumberFormat="1" applyFont="1" applyBorder="1"/>
    <xf numFmtId="43" fontId="6" fillId="0" borderId="1" xfId="0" applyNumberFormat="1" applyFont="1" applyBorder="1"/>
    <xf numFmtId="0" fontId="12" fillId="0" borderId="1" xfId="0" applyFont="1" applyBorder="1"/>
    <xf numFmtId="49" fontId="3" fillId="0" borderId="1" xfId="0" applyNumberFormat="1" applyFont="1" applyBorder="1"/>
    <xf numFmtId="37" fontId="8" fillId="0" borderId="1" xfId="1" applyNumberFormat="1" applyFont="1" applyFill="1" applyBorder="1"/>
    <xf numFmtId="37" fontId="8" fillId="0" borderId="1" xfId="1" applyNumberFormat="1" applyFont="1" applyFill="1" applyBorder="1" applyAlignment="1">
      <alignment wrapText="1"/>
    </xf>
    <xf numFmtId="43" fontId="9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7" fillId="0" borderId="1" xfId="0" applyNumberFormat="1" applyFont="1" applyBorder="1"/>
    <xf numFmtId="37" fontId="3" fillId="0" borderId="1" xfId="0" applyNumberFormat="1" applyFont="1" applyBorder="1"/>
    <xf numFmtId="164" fontId="3" fillId="0" borderId="1" xfId="1" applyNumberFormat="1" applyFont="1" applyFill="1" applyBorder="1"/>
    <xf numFmtId="0" fontId="3" fillId="0" borderId="1" xfId="0" applyFont="1" applyBorder="1" applyAlignment="1">
      <alignment wrapText="1"/>
    </xf>
    <xf numFmtId="0" fontId="6" fillId="0" borderId="1" xfId="0" applyFont="1" applyBorder="1"/>
    <xf numFmtId="164" fontId="13" fillId="0" borderId="1" xfId="1" applyNumberFormat="1" applyFont="1" applyFill="1" applyBorder="1"/>
    <xf numFmtId="3" fontId="8" fillId="0" borderId="1" xfId="0" applyNumberFormat="1" applyFont="1" applyBorder="1"/>
    <xf numFmtId="164" fontId="8" fillId="0" borderId="1" xfId="1" applyNumberFormat="1" applyFont="1" applyFill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/>
    <xf numFmtId="164" fontId="2" fillId="0" borderId="3" xfId="1" applyNumberFormat="1" applyFont="1" applyFill="1" applyBorder="1"/>
    <xf numFmtId="3" fontId="8" fillId="0" borderId="1" xfId="0" applyNumberFormat="1" applyFont="1" applyBorder="1" applyAlignment="1">
      <alignment wrapText="1"/>
    </xf>
    <xf numFmtId="3" fontId="8" fillId="0" borderId="1" xfId="0" applyNumberFormat="1" applyFont="1" applyBorder="1" applyAlignment="1">
      <alignment horizontal="center"/>
    </xf>
    <xf numFmtId="14" fontId="8" fillId="0" borderId="1" xfId="1" applyNumberFormat="1" applyFont="1" applyFill="1" applyBorder="1"/>
    <xf numFmtId="14" fontId="3" fillId="0" borderId="1" xfId="1" applyNumberFormat="1" applyFont="1" applyFill="1" applyBorder="1"/>
    <xf numFmtId="14" fontId="6" fillId="0" borderId="1" xfId="1" applyNumberFormat="1" applyFont="1" applyFill="1" applyBorder="1"/>
    <xf numFmtId="37" fontId="6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43" fontId="6" fillId="0" borderId="0" xfId="0" applyNumberFormat="1" applyFont="1"/>
    <xf numFmtId="0" fontId="9" fillId="0" borderId="0" xfId="0" applyFont="1"/>
    <xf numFmtId="0" fontId="10" fillId="2" borderId="1" xfId="0" quotePrefix="1" applyFon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horizontal="center" wrapText="1"/>
    </xf>
    <xf numFmtId="164" fontId="10" fillId="0" borderId="1" xfId="1" applyNumberFormat="1" applyFont="1" applyFill="1" applyBorder="1"/>
    <xf numFmtId="0" fontId="3" fillId="2" borderId="1" xfId="0" applyFont="1" applyFill="1" applyBorder="1" applyAlignment="1">
      <alignment horizontal="center" wrapText="1"/>
    </xf>
    <xf numFmtId="164" fontId="10" fillId="3" borderId="1" xfId="1" applyNumberFormat="1" applyFont="1" applyFill="1" applyBorder="1" applyAlignment="1">
      <alignment horizontal="left"/>
    </xf>
    <xf numFmtId="0" fontId="10" fillId="3" borderId="1" xfId="0" quotePrefix="1" applyFont="1" applyFill="1" applyBorder="1" applyAlignment="1">
      <alignment horizontal="center" wrapText="1"/>
    </xf>
    <xf numFmtId="17" fontId="3" fillId="3" borderId="1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left"/>
    </xf>
    <xf numFmtId="0" fontId="6" fillId="3" borderId="0" xfId="0" applyFont="1" applyFill="1"/>
    <xf numFmtId="49" fontId="11" fillId="3" borderId="2" xfId="2" applyNumberFormat="1" applyFill="1" applyBorder="1" applyAlignment="1">
      <alignment horizontal="left"/>
    </xf>
    <xf numFmtId="0" fontId="3" fillId="3" borderId="1" xfId="0" quotePrefix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2" fillId="0" borderId="1" xfId="0" applyFont="1" applyBorder="1"/>
  </cellXfs>
  <cellStyles count="3">
    <cellStyle name="Comma" xfId="1" builtinId="3"/>
    <cellStyle name="Normal" xfId="0" builtinId="0"/>
    <cellStyle name="Normal 2" xfId="2" xr:uid="{428D9E21-E81F-4979-AAFE-DFE698A64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c4013377bf6ed3a/LOBBY%20LINKED/LOBBY%202025/NAIROBI/ANITA%20(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7">
          <cell r="K37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D42B-7C71-469F-84A1-E5C020C6AF88}">
  <sheetPr>
    <pageSetUpPr fitToPage="1"/>
  </sheetPr>
  <dimension ref="A1:O50"/>
  <sheetViews>
    <sheetView topLeftCell="A19" zoomScaleNormal="100" workbookViewId="0">
      <selection activeCell="H32" sqref="H32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425781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66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4000</v>
      </c>
      <c r="F11" s="20">
        <v>0</v>
      </c>
      <c r="G11" s="28">
        <f>D11+E11+F11</f>
        <v>4000</v>
      </c>
      <c r="H11" s="29">
        <f>4000</f>
        <v>4000</v>
      </c>
      <c r="I11" s="75" t="s">
        <v>78</v>
      </c>
      <c r="J11" s="31" t="s">
        <v>67</v>
      </c>
      <c r="K11" s="28">
        <f>G11-H11</f>
        <v>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v>0</v>
      </c>
      <c r="G12" s="28">
        <f t="shared" ref="G12:G29" si="0">D12+E12+F12</f>
        <v>4000</v>
      </c>
      <c r="H12" s="29">
        <f>4000</f>
        <v>4000</v>
      </c>
      <c r="I12" s="75" t="s">
        <v>73</v>
      </c>
      <c r="J12" s="31" t="s">
        <v>67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28</v>
      </c>
      <c r="C13" s="25" t="s">
        <v>29</v>
      </c>
      <c r="D13" s="34">
        <v>0</v>
      </c>
      <c r="E13" s="27">
        <v>4000</v>
      </c>
      <c r="F13" s="20">
        <v>0</v>
      </c>
      <c r="G13" s="28">
        <f t="shared" si="0"/>
        <v>4000</v>
      </c>
      <c r="H13" s="35">
        <f>4000</f>
        <v>4000</v>
      </c>
      <c r="I13" s="30" t="s">
        <v>58</v>
      </c>
      <c r="J13" s="31" t="s">
        <v>67</v>
      </c>
      <c r="K13" s="28">
        <f>G13-H13</f>
        <v>0</v>
      </c>
      <c r="L13" s="32"/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v>0</v>
      </c>
      <c r="G14" s="28">
        <f t="shared" si="0"/>
        <v>6000</v>
      </c>
      <c r="H14" s="29">
        <f>6000</f>
        <v>6000</v>
      </c>
      <c r="I14" s="75" t="s">
        <v>82</v>
      </c>
      <c r="J14" s="31" t="s">
        <v>67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80</v>
      </c>
      <c r="C15" s="25" t="s">
        <v>75</v>
      </c>
      <c r="D15" s="34"/>
      <c r="E15" s="27">
        <v>6500</v>
      </c>
      <c r="F15" s="20">
        <v>0</v>
      </c>
      <c r="G15" s="28">
        <f t="shared" si="0"/>
        <v>6500</v>
      </c>
      <c r="H15" s="29">
        <f>6500</f>
        <v>6500</v>
      </c>
      <c r="I15" s="75" t="s">
        <v>74</v>
      </c>
      <c r="J15" s="31" t="s">
        <v>67</v>
      </c>
      <c r="K15" s="28">
        <f t="shared" si="2"/>
        <v>0</v>
      </c>
      <c r="L15" s="32"/>
      <c r="M15" s="18"/>
    </row>
    <row r="16" spans="1:13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v>0</v>
      </c>
      <c r="G16" s="28">
        <f t="shared" si="0"/>
        <v>6500</v>
      </c>
      <c r="H16" s="29">
        <f>5500+1000</f>
        <v>6500</v>
      </c>
      <c r="I16" s="75" t="s">
        <v>79</v>
      </c>
      <c r="J16" s="31" t="s">
        <v>67</v>
      </c>
      <c r="K16" s="28">
        <f t="shared" si="1"/>
        <v>0</v>
      </c>
      <c r="L16" s="32"/>
      <c r="M16" s="18" t="s">
        <v>25</v>
      </c>
    </row>
    <row r="17" spans="1:15">
      <c r="A17" s="33">
        <v>7</v>
      </c>
      <c r="B17" s="2" t="s">
        <v>31</v>
      </c>
      <c r="C17" s="25"/>
      <c r="D17" s="34"/>
      <c r="E17" s="27"/>
      <c r="F17" s="20">
        <v>0</v>
      </c>
      <c r="G17" s="28">
        <f t="shared" si="0"/>
        <v>0</v>
      </c>
      <c r="H17" s="29"/>
      <c r="I17" s="30"/>
      <c r="J17" s="31" t="s">
        <v>67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v>0</v>
      </c>
      <c r="G18" s="28">
        <f t="shared" si="0"/>
        <v>5000</v>
      </c>
      <c r="H18" s="29">
        <f>5000</f>
        <v>5000</v>
      </c>
      <c r="I18" s="75" t="s">
        <v>81</v>
      </c>
      <c r="J18" s="31" t="s">
        <v>67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v>0</v>
      </c>
      <c r="G19" s="28">
        <f t="shared" si="0"/>
        <v>0</v>
      </c>
      <c r="I19" s="37"/>
      <c r="J19" s="31" t="s">
        <v>67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v>0</v>
      </c>
      <c r="G20" s="28">
        <f t="shared" si="0"/>
        <v>3400</v>
      </c>
      <c r="H20" s="29">
        <f>3400</f>
        <v>3400</v>
      </c>
      <c r="I20" s="75" t="s">
        <v>69</v>
      </c>
      <c r="J20" s="31" t="s">
        <v>67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v>0</v>
      </c>
      <c r="G21" s="28">
        <f t="shared" si="0"/>
        <v>4500</v>
      </c>
      <c r="H21" s="29">
        <f>4500</f>
        <v>4500</v>
      </c>
      <c r="I21" s="75" t="s">
        <v>68</v>
      </c>
      <c r="J21" s="31" t="s">
        <v>67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v>3000</v>
      </c>
      <c r="G22" s="28">
        <f t="shared" si="0"/>
        <v>11000</v>
      </c>
      <c r="H22" s="29">
        <f>8000</f>
        <v>8000</v>
      </c>
      <c r="I22" s="76" t="s">
        <v>71</v>
      </c>
      <c r="J22" s="31" t="s">
        <v>67</v>
      </c>
      <c r="K22" s="28">
        <f t="shared" si="1"/>
        <v>3000</v>
      </c>
      <c r="L22" s="32" t="s">
        <v>84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v>0</v>
      </c>
      <c r="G23" s="28">
        <f t="shared" si="0"/>
        <v>10000</v>
      </c>
      <c r="H23" s="29">
        <f>10000</f>
        <v>10000</v>
      </c>
      <c r="I23" s="75" t="s">
        <v>76</v>
      </c>
      <c r="J23" s="31" t="s">
        <v>67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v>0</v>
      </c>
      <c r="G24" s="28">
        <f t="shared" si="0"/>
        <v>0</v>
      </c>
      <c r="H24" s="29"/>
      <c r="I24" s="30"/>
      <c r="J24" s="31" t="s">
        <v>67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v>2000</v>
      </c>
      <c r="G25" s="28">
        <f t="shared" si="0"/>
        <v>12000</v>
      </c>
      <c r="H25" s="35">
        <f>4000+3000+2500</f>
        <v>9500</v>
      </c>
      <c r="I25" s="75" t="s">
        <v>83</v>
      </c>
      <c r="J25" s="31" t="s">
        <v>67</v>
      </c>
      <c r="K25" s="28">
        <f t="shared" si="1"/>
        <v>2500</v>
      </c>
      <c r="L25" s="40" t="s">
        <v>84</v>
      </c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v>0</v>
      </c>
      <c r="G26" s="28">
        <f t="shared" si="0"/>
        <v>0</v>
      </c>
      <c r="H26" s="35"/>
      <c r="I26" s="39"/>
      <c r="J26" s="31" t="s">
        <v>67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v>0</v>
      </c>
      <c r="G27" s="28">
        <f t="shared" si="0"/>
        <v>18000</v>
      </c>
      <c r="H27" s="35">
        <f>18000</f>
        <v>18000</v>
      </c>
      <c r="I27" s="76" t="s">
        <v>72</v>
      </c>
      <c r="J27" s="31" t="s">
        <v>67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53</v>
      </c>
      <c r="C28" s="25" t="s">
        <v>54</v>
      </c>
      <c r="D28" s="38"/>
      <c r="E28" s="27">
        <v>9000</v>
      </c>
      <c r="F28" s="20">
        <v>0</v>
      </c>
      <c r="G28" s="28">
        <f t="shared" si="0"/>
        <v>9000</v>
      </c>
      <c r="H28" s="35">
        <f>9000</f>
        <v>9000</v>
      </c>
      <c r="I28" s="76" t="s">
        <v>70</v>
      </c>
      <c r="J28" s="31" t="s">
        <v>67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/>
      <c r="G29" s="28">
        <f t="shared" si="0"/>
        <v>0</v>
      </c>
      <c r="H29" s="35"/>
      <c r="I29" s="39"/>
      <c r="J29" s="31" t="s">
        <v>67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98900</v>
      </c>
      <c r="F30" s="20">
        <f>SUM(F11:F29)</f>
        <v>5000</v>
      </c>
      <c r="G30" s="44">
        <f>SUM(G11:G29)</f>
        <v>103900</v>
      </c>
      <c r="H30" s="44">
        <f>SUM(H11:H29)</f>
        <v>98400</v>
      </c>
      <c r="I30" s="45"/>
      <c r="J30" s="44"/>
      <c r="K30" s="44">
        <f>SUM(K11:K29)</f>
        <v>5500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9840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56">
        <f>H13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13840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[1]DEC!$K$37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84560</v>
      </c>
      <c r="I37" s="64">
        <v>70000</v>
      </c>
      <c r="J37" s="57">
        <v>14560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46053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94.706448508180941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6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DDE-7EAD-4B0E-B85E-C81E02BDBC3A}">
  <sheetPr>
    <pageSetUpPr fitToPage="1"/>
  </sheetPr>
  <dimension ref="A1:O50"/>
  <sheetViews>
    <sheetView topLeftCell="A8" zoomScaleNormal="100" workbookViewId="0">
      <selection activeCell="I20" sqref="I20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425781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86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4000</v>
      </c>
      <c r="F11" s="20">
        <f>JAN!K11</f>
        <v>0</v>
      </c>
      <c r="G11" s="28">
        <f>D11+E11+F11</f>
        <v>4000</v>
      </c>
      <c r="H11" s="29">
        <v>4000</v>
      </c>
      <c r="I11" s="30" t="s">
        <v>58</v>
      </c>
      <c r="J11" s="31" t="s">
        <v>85</v>
      </c>
      <c r="K11" s="28">
        <f>G11-H11</f>
        <v>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JAN!K12</f>
        <v>0</v>
      </c>
      <c r="G12" s="28">
        <f t="shared" ref="G12:G29" si="0">D12+E12+F12</f>
        <v>4000</v>
      </c>
      <c r="H12" s="29">
        <f>4000</f>
        <v>4000</v>
      </c>
      <c r="I12" s="75" t="s">
        <v>91</v>
      </c>
      <c r="J12" s="31" t="s">
        <v>85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28</v>
      </c>
      <c r="C13" s="25" t="s">
        <v>29</v>
      </c>
      <c r="D13" s="34">
        <v>0</v>
      </c>
      <c r="E13" s="27">
        <v>4000</v>
      </c>
      <c r="F13" s="20">
        <f>JAN!K13</f>
        <v>0</v>
      </c>
      <c r="G13" s="28">
        <f t="shared" si="0"/>
        <v>4000</v>
      </c>
      <c r="H13" s="35"/>
      <c r="I13" s="30"/>
      <c r="J13" s="31" t="s">
        <v>85</v>
      </c>
      <c r="K13" s="28">
        <f>G13-H13</f>
        <v>4000</v>
      </c>
      <c r="L13" s="32" t="s">
        <v>100</v>
      </c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JAN!K14</f>
        <v>0</v>
      </c>
      <c r="G14" s="28">
        <f t="shared" si="0"/>
        <v>6000</v>
      </c>
      <c r="H14" s="29">
        <f>6000</f>
        <v>6000</v>
      </c>
      <c r="I14" s="75" t="s">
        <v>94</v>
      </c>
      <c r="J14" s="31" t="s">
        <v>85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JAN!K15</f>
        <v>0</v>
      </c>
      <c r="G15" s="28">
        <f t="shared" si="0"/>
        <v>6500</v>
      </c>
      <c r="H15" s="29">
        <f>6500</f>
        <v>6500</v>
      </c>
      <c r="I15" s="75" t="s">
        <v>90</v>
      </c>
      <c r="J15" s="31" t="s">
        <v>85</v>
      </c>
      <c r="K15" s="28">
        <f t="shared" si="2"/>
        <v>0</v>
      </c>
      <c r="L15" s="32"/>
      <c r="M15" s="18"/>
    </row>
    <row r="16" spans="1:13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JAN!K16</f>
        <v>0</v>
      </c>
      <c r="G16" s="28">
        <f t="shared" si="0"/>
        <v>6500</v>
      </c>
      <c r="H16" s="29">
        <f>5900+600</f>
        <v>6500</v>
      </c>
      <c r="I16" s="75" t="s">
        <v>96</v>
      </c>
      <c r="J16" s="31" t="s">
        <v>85</v>
      </c>
      <c r="K16" s="28">
        <f t="shared" si="1"/>
        <v>0</v>
      </c>
      <c r="L16" s="32"/>
      <c r="M16" s="18" t="s">
        <v>25</v>
      </c>
    </row>
    <row r="17" spans="1:15">
      <c r="A17" s="33">
        <v>7</v>
      </c>
      <c r="B17" s="2" t="s">
        <v>31</v>
      </c>
      <c r="C17" s="25"/>
      <c r="D17" s="34"/>
      <c r="E17" s="27"/>
      <c r="F17" s="20">
        <f>JAN!K17</f>
        <v>0</v>
      </c>
      <c r="G17" s="28">
        <f t="shared" si="0"/>
        <v>0</v>
      </c>
      <c r="H17" s="29"/>
      <c r="I17" s="30"/>
      <c r="J17" s="31" t="s">
        <v>85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JAN!K18</f>
        <v>0</v>
      </c>
      <c r="G18" s="28">
        <f t="shared" si="0"/>
        <v>5000</v>
      </c>
      <c r="H18" s="29">
        <f>5000</f>
        <v>5000</v>
      </c>
      <c r="I18" s="75" t="s">
        <v>93</v>
      </c>
      <c r="J18" s="31" t="s">
        <v>85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JAN!K19</f>
        <v>0</v>
      </c>
      <c r="G19" s="28">
        <f t="shared" si="0"/>
        <v>0</v>
      </c>
      <c r="I19" s="37"/>
      <c r="J19" s="31" t="s">
        <v>85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JAN!K20</f>
        <v>0</v>
      </c>
      <c r="G20" s="28">
        <f t="shared" si="0"/>
        <v>3400</v>
      </c>
      <c r="H20" s="29">
        <f>3400</f>
        <v>3400</v>
      </c>
      <c r="I20" s="75" t="s">
        <v>88</v>
      </c>
      <c r="J20" s="31" t="s">
        <v>85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JAN!K21</f>
        <v>0</v>
      </c>
      <c r="G21" s="28">
        <f t="shared" si="0"/>
        <v>4500</v>
      </c>
      <c r="H21" s="29">
        <f>4500</f>
        <v>4500</v>
      </c>
      <c r="I21" s="75" t="s">
        <v>87</v>
      </c>
      <c r="J21" s="31" t="s">
        <v>85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JAN!K22</f>
        <v>3000</v>
      </c>
      <c r="G22" s="28">
        <f t="shared" si="0"/>
        <v>11000</v>
      </c>
      <c r="H22" s="29">
        <f>8000</f>
        <v>8000</v>
      </c>
      <c r="I22" s="39">
        <v>5793</v>
      </c>
      <c r="J22" s="31" t="s">
        <v>85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JAN!K23</f>
        <v>0</v>
      </c>
      <c r="G23" s="28">
        <f t="shared" si="0"/>
        <v>10000</v>
      </c>
      <c r="H23" s="29">
        <f>10000</f>
        <v>10000</v>
      </c>
      <c r="I23" s="75" t="s">
        <v>95</v>
      </c>
      <c r="J23" s="31" t="s">
        <v>85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JAN!K24</f>
        <v>0</v>
      </c>
      <c r="G24" s="28">
        <f t="shared" si="0"/>
        <v>0</v>
      </c>
      <c r="H24" s="29"/>
      <c r="I24" s="30"/>
      <c r="J24" s="31" t="s">
        <v>85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JAN!K25</f>
        <v>2500</v>
      </c>
      <c r="G25" s="28">
        <f t="shared" si="0"/>
        <v>12500</v>
      </c>
      <c r="H25" s="35">
        <f>1500+5000+3000</f>
        <v>9500</v>
      </c>
      <c r="I25" s="75" t="s">
        <v>98</v>
      </c>
      <c r="J25" s="31" t="s">
        <v>85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JAN!K26</f>
        <v>0</v>
      </c>
      <c r="G26" s="28">
        <f t="shared" si="0"/>
        <v>0</v>
      </c>
      <c r="H26" s="35"/>
      <c r="I26" s="39"/>
      <c r="J26" s="31" t="s">
        <v>85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JAN!K27</f>
        <v>0</v>
      </c>
      <c r="G27" s="28">
        <f t="shared" si="0"/>
        <v>18000</v>
      </c>
      <c r="H27" s="35">
        <f>18000</f>
        <v>18000</v>
      </c>
      <c r="I27" s="76" t="s">
        <v>92</v>
      </c>
      <c r="J27" s="31" t="s">
        <v>85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JAN!K28</f>
        <v>0</v>
      </c>
      <c r="G28" s="28">
        <f t="shared" si="0"/>
        <v>9000</v>
      </c>
      <c r="H28" s="35">
        <f>9000</f>
        <v>9000</v>
      </c>
      <c r="I28" s="76" t="s">
        <v>97</v>
      </c>
      <c r="J28" s="31" t="s">
        <v>85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JAN!K29</f>
        <v>0</v>
      </c>
      <c r="G29" s="28">
        <f t="shared" si="0"/>
        <v>0</v>
      </c>
      <c r="H29" s="35"/>
      <c r="I29" s="39"/>
      <c r="J29" s="31" t="s">
        <v>85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98900</v>
      </c>
      <c r="F30" s="20">
        <f>SUM(F11:F29)</f>
        <v>5500</v>
      </c>
      <c r="G30" s="44">
        <f>SUM(G11:G29)</f>
        <v>104400</v>
      </c>
      <c r="H30" s="44">
        <f>SUM(H11:H29)</f>
        <v>94400</v>
      </c>
      <c r="I30" s="45"/>
      <c r="J30" s="44"/>
      <c r="K30" s="44">
        <f>SUM(K11:K29)</f>
        <v>10000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9440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H11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13440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JAN!K37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80960</v>
      </c>
      <c r="I37" s="64">
        <v>70000</v>
      </c>
      <c r="J37" s="57">
        <v>10960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46081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90.421455938697321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1160-8409-4166-8205-32B1FC9910B1}">
  <sheetPr>
    <pageSetUpPr fitToPage="1"/>
  </sheetPr>
  <dimension ref="A1:O50"/>
  <sheetViews>
    <sheetView topLeftCell="A10" zoomScaleNormal="100" workbookViewId="0">
      <selection activeCell="E12" sqref="E12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425781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102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FEB!K11</f>
        <v>0</v>
      </c>
      <c r="G11" s="28">
        <f>D11+E11+F11</f>
        <v>5000</v>
      </c>
      <c r="H11" s="29">
        <f>10000</f>
        <v>10000</v>
      </c>
      <c r="I11" s="75" t="s">
        <v>116</v>
      </c>
      <c r="J11" s="31" t="s">
        <v>101</v>
      </c>
      <c r="K11" s="28">
        <f>G11-H11</f>
        <v>-5000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FEB!K12</f>
        <v>0</v>
      </c>
      <c r="G12" s="28">
        <f t="shared" ref="G12:G29" si="0">D12+E12+F12</f>
        <v>4000</v>
      </c>
      <c r="H12" s="29">
        <f>4000</f>
        <v>4000</v>
      </c>
      <c r="I12" s="75" t="s">
        <v>103</v>
      </c>
      <c r="J12" s="31" t="s">
        <v>101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112</v>
      </c>
      <c r="C13" s="25"/>
      <c r="D13" s="34">
        <v>0</v>
      </c>
      <c r="E13" s="27">
        <v>4000</v>
      </c>
      <c r="F13" s="20"/>
      <c r="G13" s="28">
        <f t="shared" si="0"/>
        <v>4000</v>
      </c>
      <c r="H13" s="35">
        <f>4000</f>
        <v>4000</v>
      </c>
      <c r="I13" s="30" t="s">
        <v>58</v>
      </c>
      <c r="J13" s="31" t="s">
        <v>101</v>
      </c>
      <c r="K13" s="28">
        <f>G13-H13</f>
        <v>0</v>
      </c>
      <c r="L13" s="32"/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FEB!K14</f>
        <v>0</v>
      </c>
      <c r="G14" s="28">
        <f t="shared" si="0"/>
        <v>6000</v>
      </c>
      <c r="H14" s="29">
        <f>6000</f>
        <v>6000</v>
      </c>
      <c r="I14" s="75" t="s">
        <v>107</v>
      </c>
      <c r="J14" s="31" t="s">
        <v>101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FEB!K15</f>
        <v>0</v>
      </c>
      <c r="G15" s="28">
        <f t="shared" si="0"/>
        <v>6500</v>
      </c>
      <c r="H15" s="29">
        <f>6500</f>
        <v>6500</v>
      </c>
      <c r="I15" s="75" t="s">
        <v>106</v>
      </c>
      <c r="J15" s="31" t="s">
        <v>101</v>
      </c>
      <c r="K15" s="28">
        <f t="shared" si="2"/>
        <v>0</v>
      </c>
      <c r="L15" s="32"/>
      <c r="M15" s="18"/>
    </row>
    <row r="16" spans="1:13" ht="23.25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FEB!K16</f>
        <v>0</v>
      </c>
      <c r="G16" s="28">
        <f t="shared" si="0"/>
        <v>6500</v>
      </c>
      <c r="H16" s="29">
        <f>4600+700+1000</f>
        <v>6300</v>
      </c>
      <c r="I16" s="75" t="s">
        <v>127</v>
      </c>
      <c r="J16" s="31" t="s">
        <v>101</v>
      </c>
      <c r="K16" s="28">
        <f t="shared" si="1"/>
        <v>200</v>
      </c>
      <c r="L16" s="32"/>
      <c r="M16" s="18" t="s">
        <v>25</v>
      </c>
    </row>
    <row r="17" spans="1:15">
      <c r="A17" s="33">
        <v>7</v>
      </c>
      <c r="B17" s="2" t="s">
        <v>110</v>
      </c>
      <c r="C17" s="25"/>
      <c r="D17" s="34"/>
      <c r="E17" s="27">
        <v>5000</v>
      </c>
      <c r="F17" s="20">
        <f>FEB!K17</f>
        <v>0</v>
      </c>
      <c r="G17" s="28">
        <f t="shared" si="0"/>
        <v>5000</v>
      </c>
      <c r="H17" s="29">
        <f>5000</f>
        <v>5000</v>
      </c>
      <c r="I17" s="75" t="s">
        <v>111</v>
      </c>
      <c r="J17" s="31" t="s">
        <v>101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FEB!K18</f>
        <v>0</v>
      </c>
      <c r="G18" s="28">
        <f t="shared" si="0"/>
        <v>5000</v>
      </c>
      <c r="H18" s="29">
        <f>5000</f>
        <v>5000</v>
      </c>
      <c r="I18" s="75" t="s">
        <v>113</v>
      </c>
      <c r="J18" s="31" t="s">
        <v>101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FEB!K19</f>
        <v>0</v>
      </c>
      <c r="G19" s="28">
        <f t="shared" si="0"/>
        <v>0</v>
      </c>
      <c r="I19" s="37"/>
      <c r="J19" s="31" t="s">
        <v>101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FEB!K20</f>
        <v>0</v>
      </c>
      <c r="G20" s="28">
        <f t="shared" si="0"/>
        <v>3400</v>
      </c>
      <c r="H20" s="29">
        <f>3400</f>
        <v>3400</v>
      </c>
      <c r="I20" s="75" t="s">
        <v>105</v>
      </c>
      <c r="J20" s="31" t="s">
        <v>101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FEB!K21</f>
        <v>0</v>
      </c>
      <c r="G21" s="28">
        <f t="shared" si="0"/>
        <v>4500</v>
      </c>
      <c r="H21" s="29">
        <f>4500</f>
        <v>4500</v>
      </c>
      <c r="I21" s="75" t="s">
        <v>104</v>
      </c>
      <c r="J21" s="31" t="s">
        <v>101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FEB!K22</f>
        <v>3000</v>
      </c>
      <c r="G22" s="28">
        <f t="shared" si="0"/>
        <v>11000</v>
      </c>
      <c r="H22" s="29">
        <f>8000</f>
        <v>8000</v>
      </c>
      <c r="I22" s="76" t="s">
        <v>114</v>
      </c>
      <c r="J22" s="31" t="s">
        <v>101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FEB!K23</f>
        <v>0</v>
      </c>
      <c r="G23" s="28">
        <f t="shared" si="0"/>
        <v>10000</v>
      </c>
      <c r="H23" s="29">
        <f>10000</f>
        <v>10000</v>
      </c>
      <c r="I23" s="75" t="s">
        <v>115</v>
      </c>
      <c r="J23" s="31" t="s">
        <v>101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FEB!K24</f>
        <v>0</v>
      </c>
      <c r="G24" s="28">
        <f t="shared" si="0"/>
        <v>0</v>
      </c>
      <c r="H24" s="29"/>
      <c r="I24" s="30"/>
      <c r="J24" s="31" t="s">
        <v>101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FEB!K25</f>
        <v>3000</v>
      </c>
      <c r="G25" s="28">
        <f t="shared" si="0"/>
        <v>13000</v>
      </c>
      <c r="H25" s="35">
        <f>2000+5000+3000</f>
        <v>10000</v>
      </c>
      <c r="I25" s="75" t="s">
        <v>128</v>
      </c>
      <c r="J25" s="31" t="s">
        <v>101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FEB!K26</f>
        <v>0</v>
      </c>
      <c r="G26" s="28">
        <f t="shared" si="0"/>
        <v>0</v>
      </c>
      <c r="H26" s="35"/>
      <c r="I26" s="39"/>
      <c r="J26" s="31" t="s">
        <v>101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FEB!K27</f>
        <v>0</v>
      </c>
      <c r="G27" s="28">
        <f t="shared" si="0"/>
        <v>18000</v>
      </c>
      <c r="H27" s="35">
        <f>18000</f>
        <v>18000</v>
      </c>
      <c r="I27" s="76" t="s">
        <v>109</v>
      </c>
      <c r="J27" s="31" t="s">
        <v>101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FEB!K28</f>
        <v>0</v>
      </c>
      <c r="G28" s="28">
        <f t="shared" si="0"/>
        <v>9000</v>
      </c>
      <c r="H28" s="35">
        <f>9000</f>
        <v>9000</v>
      </c>
      <c r="I28" s="76" t="s">
        <v>108</v>
      </c>
      <c r="J28" s="31" t="s">
        <v>101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FEB!K29</f>
        <v>0</v>
      </c>
      <c r="G29" s="28">
        <f t="shared" si="0"/>
        <v>0</v>
      </c>
      <c r="H29" s="35"/>
      <c r="I29" s="39"/>
      <c r="J29" s="31" t="s">
        <v>101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104900</v>
      </c>
      <c r="F30" s="20">
        <f>SUM(F11:F29)</f>
        <v>6000</v>
      </c>
      <c r="G30" s="44">
        <f>SUM(G11:G29)</f>
        <v>110900</v>
      </c>
      <c r="H30" s="44">
        <f>SUM(H11:H29)</f>
        <v>109700</v>
      </c>
      <c r="I30" s="45"/>
      <c r="J30" s="44"/>
      <c r="K30" s="44">
        <f>SUM(K11:K29)</f>
        <v>1200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10970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14970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FEB!K37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94730</v>
      </c>
      <c r="I37" s="64">
        <v>70000</v>
      </c>
      <c r="J37" s="57">
        <v>24730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46112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98.917944093778175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70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ED66-F11A-49B2-9B87-55C0566F73B5}">
  <sheetPr>
    <pageSetUpPr fitToPage="1"/>
  </sheetPr>
  <dimension ref="A1:O50"/>
  <sheetViews>
    <sheetView topLeftCell="A7" zoomScaleNormal="100" workbookViewId="0">
      <selection activeCell="H33" sqref="H33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425781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118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MAR!K11</f>
        <v>-5000</v>
      </c>
      <c r="G11" s="28">
        <f>D11+E11+F11</f>
        <v>0</v>
      </c>
      <c r="H11" s="29"/>
      <c r="I11" s="30"/>
      <c r="J11" s="31" t="s">
        <v>117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MAR!K12</f>
        <v>0</v>
      </c>
      <c r="G12" s="28">
        <f t="shared" ref="G12:G29" si="0">D12+E12+F12</f>
        <v>4000</v>
      </c>
      <c r="H12" s="29">
        <f>4000</f>
        <v>4000</v>
      </c>
      <c r="I12" s="75" t="s">
        <v>129</v>
      </c>
      <c r="J12" s="31" t="s">
        <v>117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>
        <v>4000</v>
      </c>
      <c r="F13" s="20">
        <f>MAR!K13</f>
        <v>0</v>
      </c>
      <c r="G13" s="28">
        <f t="shared" si="0"/>
        <v>4000</v>
      </c>
      <c r="H13" s="35">
        <f>4000</f>
        <v>4000</v>
      </c>
      <c r="I13" s="30" t="s">
        <v>58</v>
      </c>
      <c r="J13" s="31" t="s">
        <v>117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MAR!K14</f>
        <v>0</v>
      </c>
      <c r="G14" s="28">
        <f t="shared" si="0"/>
        <v>6000</v>
      </c>
      <c r="H14" s="29">
        <f>6000</f>
        <v>6000</v>
      </c>
      <c r="I14" s="75" t="s">
        <v>122</v>
      </c>
      <c r="J14" s="31" t="s">
        <v>117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MAR!K15</f>
        <v>0</v>
      </c>
      <c r="G15" s="28">
        <f t="shared" si="0"/>
        <v>6500</v>
      </c>
      <c r="H15" s="29">
        <f>6500</f>
        <v>6500</v>
      </c>
      <c r="I15" s="75" t="s">
        <v>131</v>
      </c>
      <c r="J15" s="31" t="s">
        <v>117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MAR!K16</f>
        <v>200</v>
      </c>
      <c r="G16" s="28">
        <f t="shared" si="0"/>
        <v>6700</v>
      </c>
      <c r="H16" s="29">
        <f>4800+1800</f>
        <v>6600</v>
      </c>
      <c r="I16" s="75" t="s">
        <v>121</v>
      </c>
      <c r="J16" s="31" t="s">
        <v>117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MAR!K17</f>
        <v>0</v>
      </c>
      <c r="G17" s="28">
        <f t="shared" si="0"/>
        <v>5500</v>
      </c>
      <c r="H17" s="29">
        <f>5000</f>
        <v>5000</v>
      </c>
      <c r="I17" s="30" t="s">
        <v>58</v>
      </c>
      <c r="J17" s="31" t="s">
        <v>117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MAR!K18</f>
        <v>0</v>
      </c>
      <c r="G18" s="28">
        <f t="shared" si="0"/>
        <v>5000</v>
      </c>
      <c r="H18" s="29">
        <f>5000</f>
        <v>5000</v>
      </c>
      <c r="I18" s="75" t="s">
        <v>125</v>
      </c>
      <c r="J18" s="31" t="s">
        <v>117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MAR!K19</f>
        <v>0</v>
      </c>
      <c r="G19" s="28">
        <f t="shared" si="0"/>
        <v>0</v>
      </c>
      <c r="I19" s="37"/>
      <c r="J19" s="31" t="s">
        <v>117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MAR!K20</f>
        <v>0</v>
      </c>
      <c r="G20" s="28">
        <f t="shared" si="0"/>
        <v>3400</v>
      </c>
      <c r="H20" s="29">
        <f>3400</f>
        <v>3400</v>
      </c>
      <c r="I20" s="75" t="s">
        <v>120</v>
      </c>
      <c r="J20" s="31" t="s">
        <v>117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MAR!K21</f>
        <v>0</v>
      </c>
      <c r="G21" s="28">
        <f t="shared" si="0"/>
        <v>4500</v>
      </c>
      <c r="H21" s="29">
        <f>4500</f>
        <v>4500</v>
      </c>
      <c r="I21" s="75" t="s">
        <v>119</v>
      </c>
      <c r="J21" s="31" t="s">
        <v>117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MAR!K22</f>
        <v>3000</v>
      </c>
      <c r="G22" s="28">
        <f t="shared" si="0"/>
        <v>11000</v>
      </c>
      <c r="H22" s="29">
        <f>8000</f>
        <v>8000</v>
      </c>
      <c r="I22" s="78">
        <v>5432</v>
      </c>
      <c r="J22" s="31" t="s">
        <v>117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MAR!K23</f>
        <v>0</v>
      </c>
      <c r="G23" s="28">
        <f t="shared" si="0"/>
        <v>10000</v>
      </c>
      <c r="H23" s="29">
        <f>10000</f>
        <v>10000</v>
      </c>
      <c r="I23" s="75" t="s">
        <v>132</v>
      </c>
      <c r="J23" s="31" t="s">
        <v>117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MAR!K24</f>
        <v>0</v>
      </c>
      <c r="G24" s="28">
        <f t="shared" si="0"/>
        <v>0</v>
      </c>
      <c r="H24" s="29"/>
      <c r="I24" s="30"/>
      <c r="J24" s="31" t="s">
        <v>117</v>
      </c>
      <c r="K24" s="28">
        <f t="shared" si="1"/>
        <v>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MAR!K25</f>
        <v>3000</v>
      </c>
      <c r="G25" s="28">
        <f t="shared" si="0"/>
        <v>13000</v>
      </c>
      <c r="H25" s="35">
        <f>8000</f>
        <v>8000</v>
      </c>
      <c r="I25" s="75" t="s">
        <v>126</v>
      </c>
      <c r="J25" s="31" t="s">
        <v>117</v>
      </c>
      <c r="K25" s="28">
        <f t="shared" si="1"/>
        <v>5000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MAR!K26</f>
        <v>0</v>
      </c>
      <c r="G26" s="28">
        <f t="shared" si="0"/>
        <v>0</v>
      </c>
      <c r="H26" s="35"/>
      <c r="I26" s="39"/>
      <c r="J26" s="31" t="s">
        <v>117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MAR!K27</f>
        <v>0</v>
      </c>
      <c r="G27" s="28">
        <f t="shared" si="0"/>
        <v>18000</v>
      </c>
      <c r="H27" s="35">
        <f>18000</f>
        <v>18000</v>
      </c>
      <c r="I27" s="76" t="s">
        <v>124</v>
      </c>
      <c r="J27" s="31" t="s">
        <v>117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MAR!K28</f>
        <v>0</v>
      </c>
      <c r="G28" s="28">
        <f t="shared" si="0"/>
        <v>9000</v>
      </c>
      <c r="H28" s="35">
        <f>9000</f>
        <v>9000</v>
      </c>
      <c r="I28" s="76" t="s">
        <v>130</v>
      </c>
      <c r="J28" s="31" t="s">
        <v>117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MAR!K29</f>
        <v>0</v>
      </c>
      <c r="G29" s="28">
        <f t="shared" si="0"/>
        <v>0</v>
      </c>
      <c r="H29" s="35"/>
      <c r="I29" s="39"/>
      <c r="J29" s="31" t="s">
        <v>117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105400</v>
      </c>
      <c r="F30" s="20">
        <f>SUM(F11:F29)</f>
        <v>1200</v>
      </c>
      <c r="G30" s="44">
        <f>SUM(G11:G29)</f>
        <v>106600</v>
      </c>
      <c r="H30" s="44">
        <f>SUM(H11:H29)</f>
        <v>98000</v>
      </c>
      <c r="I30" s="45"/>
      <c r="J30" s="44"/>
      <c r="K30" s="44">
        <f>SUM(K11:K29)</f>
        <v>8600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9800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H13+H17</f>
        <v>9000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18800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MAR!K37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79200</v>
      </c>
      <c r="I37" s="64">
        <v>70000</v>
      </c>
      <c r="J37" s="57">
        <v>9200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46142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91.932457786116316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70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36B9-67F8-491B-9C1A-1FE6E61B5850}">
  <sheetPr>
    <pageSetUpPr fitToPage="1"/>
  </sheetPr>
  <dimension ref="A1:O38"/>
  <sheetViews>
    <sheetView topLeftCell="A16" zoomScaleNormal="100" workbookViewId="0">
      <selection activeCell="J38" sqref="J38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134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APR!K11</f>
        <v>0</v>
      </c>
      <c r="G11" s="28">
        <f>D11+E11+F11</f>
        <v>5000</v>
      </c>
      <c r="H11" s="29"/>
      <c r="I11" s="30"/>
      <c r="J11" s="31" t="s">
        <v>133</v>
      </c>
      <c r="K11" s="28">
        <f>G11-H11</f>
        <v>5000</v>
      </c>
      <c r="L11" s="32" t="s">
        <v>149</v>
      </c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APR!K12</f>
        <v>0</v>
      </c>
      <c r="G12" s="28">
        <f t="shared" ref="G12:G29" si="0">D12+E12+F12</f>
        <v>4000</v>
      </c>
      <c r="H12" s="29">
        <f>4000</f>
        <v>4000</v>
      </c>
      <c r="I12" s="75" t="s">
        <v>142</v>
      </c>
      <c r="J12" s="31" t="s">
        <v>133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48</v>
      </c>
      <c r="C13" s="25"/>
      <c r="D13" s="34">
        <v>0</v>
      </c>
      <c r="E13" s="27"/>
      <c r="F13" s="20">
        <f>APR!K13</f>
        <v>0</v>
      </c>
      <c r="G13" s="28">
        <f t="shared" si="0"/>
        <v>0</v>
      </c>
      <c r="H13" s="35"/>
      <c r="I13" s="30"/>
      <c r="J13" s="31" t="s">
        <v>133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APR!K14</f>
        <v>0</v>
      </c>
      <c r="G14" s="28">
        <f t="shared" si="0"/>
        <v>6000</v>
      </c>
      <c r="H14" s="29">
        <f>6000</f>
        <v>6000</v>
      </c>
      <c r="I14" s="75" t="s">
        <v>139</v>
      </c>
      <c r="J14" s="31" t="s">
        <v>133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APR!K15</f>
        <v>0</v>
      </c>
      <c r="G15" s="28">
        <f t="shared" si="0"/>
        <v>6500</v>
      </c>
      <c r="H15" s="29">
        <f>6500</f>
        <v>6500</v>
      </c>
      <c r="I15" s="75" t="s">
        <v>138</v>
      </c>
      <c r="J15" s="31" t="s">
        <v>133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APR!K16</f>
        <v>100</v>
      </c>
      <c r="G16" s="28">
        <f t="shared" si="0"/>
        <v>6600</v>
      </c>
      <c r="H16" s="29">
        <f>4500+2000</f>
        <v>6500</v>
      </c>
      <c r="I16" s="75" t="s">
        <v>141</v>
      </c>
      <c r="J16" s="31" t="s">
        <v>133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APR!K17</f>
        <v>500</v>
      </c>
      <c r="G17" s="28">
        <f t="shared" si="0"/>
        <v>6000</v>
      </c>
      <c r="H17" s="29">
        <f>5500</f>
        <v>5500</v>
      </c>
      <c r="I17" s="75" t="s">
        <v>145</v>
      </c>
      <c r="J17" s="31" t="s">
        <v>133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APR!K18</f>
        <v>0</v>
      </c>
      <c r="G18" s="28">
        <f t="shared" si="0"/>
        <v>5000</v>
      </c>
      <c r="H18" s="29">
        <f>5000</f>
        <v>5000</v>
      </c>
      <c r="I18" s="75" t="s">
        <v>144</v>
      </c>
      <c r="J18" s="31" t="s">
        <v>133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APR!K19</f>
        <v>0</v>
      </c>
      <c r="G19" s="28">
        <f t="shared" si="0"/>
        <v>0</v>
      </c>
      <c r="I19" s="37"/>
      <c r="J19" s="31" t="s">
        <v>133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APR!K20</f>
        <v>0</v>
      </c>
      <c r="G20" s="28">
        <f t="shared" si="0"/>
        <v>3400</v>
      </c>
      <c r="H20" s="29">
        <f>3400</f>
        <v>3400</v>
      </c>
      <c r="I20" s="75" t="s">
        <v>136</v>
      </c>
      <c r="J20" s="31" t="s">
        <v>133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APR!K21</f>
        <v>0</v>
      </c>
      <c r="G21" s="28">
        <f t="shared" si="0"/>
        <v>4500</v>
      </c>
      <c r="H21" s="29">
        <f>4500</f>
        <v>4500</v>
      </c>
      <c r="I21" s="75" t="s">
        <v>135</v>
      </c>
      <c r="J21" s="31" t="s">
        <v>133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APR!K22</f>
        <v>3000</v>
      </c>
      <c r="G22" s="28">
        <f t="shared" si="0"/>
        <v>11000</v>
      </c>
      <c r="H22" s="29">
        <f>8000</f>
        <v>8000</v>
      </c>
      <c r="I22" s="78">
        <v>7707</v>
      </c>
      <c r="J22" s="31" t="s">
        <v>133</v>
      </c>
      <c r="K22" s="28">
        <f t="shared" si="1"/>
        <v>3000</v>
      </c>
      <c r="L22" s="32" t="s">
        <v>147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APR!K23</f>
        <v>0</v>
      </c>
      <c r="G23" s="28">
        <f t="shared" si="0"/>
        <v>10000</v>
      </c>
      <c r="H23" s="29">
        <f>10000</f>
        <v>10000</v>
      </c>
      <c r="I23" s="75" t="s">
        <v>143</v>
      </c>
      <c r="J23" s="31" t="s">
        <v>133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APR!K24</f>
        <v>0</v>
      </c>
      <c r="G24" s="28">
        <f t="shared" si="0"/>
        <v>0</v>
      </c>
      <c r="H24" s="29"/>
      <c r="I24" s="30"/>
      <c r="J24" s="31" t="s">
        <v>133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APR!K25</f>
        <v>5000</v>
      </c>
      <c r="G25" s="28">
        <f t="shared" si="0"/>
        <v>15000</v>
      </c>
      <c r="H25" s="35">
        <f>4000+2500+2500+4000</f>
        <v>13000</v>
      </c>
      <c r="I25" s="75" t="s">
        <v>146</v>
      </c>
      <c r="J25" s="31" t="s">
        <v>133</v>
      </c>
      <c r="K25" s="28">
        <f t="shared" si="1"/>
        <v>2000</v>
      </c>
      <c r="L25" s="40" t="s">
        <v>148</v>
      </c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APR!K26</f>
        <v>0</v>
      </c>
      <c r="G26" s="28">
        <f t="shared" si="0"/>
        <v>0</v>
      </c>
      <c r="H26" s="35"/>
      <c r="I26" s="39"/>
      <c r="J26" s="31" t="s">
        <v>133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APR!K27</f>
        <v>0</v>
      </c>
      <c r="G27" s="28">
        <f t="shared" si="0"/>
        <v>18000</v>
      </c>
      <c r="H27" s="35">
        <f>18000</f>
        <v>18000</v>
      </c>
      <c r="I27" s="76" t="s">
        <v>140</v>
      </c>
      <c r="J27" s="31" t="s">
        <v>133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APR!K28</f>
        <v>0</v>
      </c>
      <c r="G28" s="28">
        <f t="shared" si="0"/>
        <v>9000</v>
      </c>
      <c r="H28" s="35">
        <f>9000</f>
        <v>9000</v>
      </c>
      <c r="I28" s="76" t="s">
        <v>137</v>
      </c>
      <c r="J28" s="31" t="s">
        <v>133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APR!K29</f>
        <v>0</v>
      </c>
      <c r="G29" s="28">
        <f t="shared" si="0"/>
        <v>0</v>
      </c>
      <c r="H29" s="35"/>
      <c r="I29" s="39"/>
      <c r="J29" s="31" t="s">
        <v>133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101400</v>
      </c>
      <c r="F30" s="20">
        <f>SUM(F11:F29)</f>
        <v>8600</v>
      </c>
      <c r="G30" s="44">
        <f>SUM(G11:G29)</f>
        <v>110000</v>
      </c>
      <c r="H30" s="44">
        <f>SUM(H11:H29)</f>
        <v>99400</v>
      </c>
      <c r="I30" s="45"/>
      <c r="J30" s="44"/>
      <c r="K30" s="44">
        <f>SUM(K11:K29)</f>
        <v>10600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9940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/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9940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MAR!K37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89460</v>
      </c>
      <c r="I37" s="64">
        <v>70000</v>
      </c>
      <c r="J37" s="57">
        <v>13960</v>
      </c>
      <c r="K37" s="65">
        <f>H37-I37-J37</f>
        <v>5500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46173</v>
      </c>
      <c r="L38" s="67"/>
      <c r="M38" s="68"/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6CC0-C9F7-4AA5-9346-041F917B6E9F}">
  <sheetPr>
    <pageSetUpPr fitToPage="1"/>
  </sheetPr>
  <dimension ref="A1:O41"/>
  <sheetViews>
    <sheetView topLeftCell="A24" zoomScaleNormal="100" workbookViewId="0">
      <selection activeCell="B30" sqref="B30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151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112</v>
      </c>
      <c r="C11" s="25"/>
      <c r="D11" s="26"/>
      <c r="E11" s="27"/>
      <c r="F11" s="20"/>
      <c r="G11" s="28">
        <f>D11+E11+F11</f>
        <v>0</v>
      </c>
      <c r="H11" s="79"/>
      <c r="I11" s="80"/>
      <c r="J11" s="81" t="s">
        <v>150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MAY!K12</f>
        <v>0</v>
      </c>
      <c r="G12" s="28">
        <f t="shared" ref="G12:G29" si="0">D12+E12+F12</f>
        <v>4000</v>
      </c>
      <c r="H12" s="79">
        <f>4000</f>
        <v>4000</v>
      </c>
      <c r="I12" s="75" t="s">
        <v>163</v>
      </c>
      <c r="J12" s="81" t="s">
        <v>150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/>
      <c r="F13" s="20">
        <f>MAY!K13</f>
        <v>0</v>
      </c>
      <c r="G13" s="28">
        <f t="shared" si="0"/>
        <v>0</v>
      </c>
      <c r="H13" s="82"/>
      <c r="I13" s="80"/>
      <c r="J13" s="81" t="s">
        <v>150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MAY!K14</f>
        <v>0</v>
      </c>
      <c r="G14" s="28">
        <f t="shared" si="0"/>
        <v>6000</v>
      </c>
      <c r="H14" s="79">
        <f>6000</f>
        <v>6000</v>
      </c>
      <c r="I14" s="75" t="s">
        <v>155</v>
      </c>
      <c r="J14" s="81" t="s">
        <v>150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MAY!K15</f>
        <v>0</v>
      </c>
      <c r="G15" s="28">
        <f t="shared" si="0"/>
        <v>6500</v>
      </c>
      <c r="H15" s="79">
        <f>6500</f>
        <v>6500</v>
      </c>
      <c r="I15" s="75" t="s">
        <v>154</v>
      </c>
      <c r="J15" s="81" t="s">
        <v>150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MAY!K16</f>
        <v>100</v>
      </c>
      <c r="G16" s="28">
        <f t="shared" si="0"/>
        <v>6600</v>
      </c>
      <c r="H16" s="79">
        <f>6000+500</f>
        <v>6500</v>
      </c>
      <c r="I16" s="75" t="s">
        <v>159</v>
      </c>
      <c r="J16" s="81" t="s">
        <v>150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MAY!K17</f>
        <v>500</v>
      </c>
      <c r="G17" s="28">
        <f t="shared" si="0"/>
        <v>6000</v>
      </c>
      <c r="H17" s="79">
        <f>5500</f>
        <v>5500</v>
      </c>
      <c r="I17" s="75" t="s">
        <v>161</v>
      </c>
      <c r="J17" s="81" t="s">
        <v>150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MAY!K18</f>
        <v>0</v>
      </c>
      <c r="G18" s="28">
        <f t="shared" si="0"/>
        <v>5000</v>
      </c>
      <c r="H18" s="79">
        <f>5000</f>
        <v>5000</v>
      </c>
      <c r="I18" s="75" t="s">
        <v>160</v>
      </c>
      <c r="J18" s="81" t="s">
        <v>150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MAY!K19</f>
        <v>0</v>
      </c>
      <c r="G19" s="28">
        <f t="shared" si="0"/>
        <v>0</v>
      </c>
      <c r="H19" s="83"/>
      <c r="I19" s="84"/>
      <c r="J19" s="81" t="s">
        <v>150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MAY!K20</f>
        <v>0</v>
      </c>
      <c r="G20" s="28">
        <f t="shared" si="0"/>
        <v>3400</v>
      </c>
      <c r="H20" s="79">
        <f>3400</f>
        <v>3400</v>
      </c>
      <c r="I20" s="75" t="s">
        <v>153</v>
      </c>
      <c r="J20" s="81" t="s">
        <v>150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MAY!K21</f>
        <v>0</v>
      </c>
      <c r="G21" s="28">
        <f t="shared" si="0"/>
        <v>4500</v>
      </c>
      <c r="H21" s="79">
        <f>4500</f>
        <v>4500</v>
      </c>
      <c r="I21" s="75" t="s">
        <v>152</v>
      </c>
      <c r="J21" s="81" t="s">
        <v>150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MAY!K22</f>
        <v>3000</v>
      </c>
      <c r="G22" s="28">
        <f t="shared" si="0"/>
        <v>11000</v>
      </c>
      <c r="H22" s="79">
        <f>8000</f>
        <v>8000</v>
      </c>
      <c r="I22" s="86">
        <v>3915</v>
      </c>
      <c r="J22" s="81" t="s">
        <v>150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MAY!K23</f>
        <v>0</v>
      </c>
      <c r="G23" s="28">
        <f t="shared" si="0"/>
        <v>10000</v>
      </c>
      <c r="H23" s="79">
        <f>10000</f>
        <v>10000</v>
      </c>
      <c r="I23" s="75" t="s">
        <v>158</v>
      </c>
      <c r="J23" s="81" t="s">
        <v>150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MAY!K24</f>
        <v>0</v>
      </c>
      <c r="G24" s="28">
        <f t="shared" si="0"/>
        <v>0</v>
      </c>
      <c r="H24" s="79"/>
      <c r="I24" s="80"/>
      <c r="J24" s="81" t="s">
        <v>150</v>
      </c>
      <c r="K24" s="28">
        <f t="shared" si="1"/>
        <v>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MAY!K25</f>
        <v>2000</v>
      </c>
      <c r="G25" s="28">
        <f t="shared" si="0"/>
        <v>12000</v>
      </c>
      <c r="H25" s="82">
        <f>7000+2000</f>
        <v>9000</v>
      </c>
      <c r="I25" s="75" t="s">
        <v>162</v>
      </c>
      <c r="J25" s="81" t="s">
        <v>150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MAY!K26</f>
        <v>0</v>
      </c>
      <c r="G26" s="28">
        <f t="shared" si="0"/>
        <v>0</v>
      </c>
      <c r="H26" s="82"/>
      <c r="I26" s="85"/>
      <c r="J26" s="81" t="s">
        <v>150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MAY!K27</f>
        <v>0</v>
      </c>
      <c r="G27" s="28">
        <f t="shared" si="0"/>
        <v>18000</v>
      </c>
      <c r="H27" s="82">
        <f>18000</f>
        <v>18000</v>
      </c>
      <c r="I27" s="76" t="s">
        <v>157</v>
      </c>
      <c r="J27" s="81" t="s">
        <v>150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MAY!K28</f>
        <v>0</v>
      </c>
      <c r="G28" s="28">
        <f t="shared" si="0"/>
        <v>9000</v>
      </c>
      <c r="H28" s="82">
        <f>9000</f>
        <v>9000</v>
      </c>
      <c r="I28" s="76" t="s">
        <v>156</v>
      </c>
      <c r="J28" s="81" t="s">
        <v>150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MAY!K29</f>
        <v>0</v>
      </c>
      <c r="G29" s="28">
        <f t="shared" si="0"/>
        <v>0</v>
      </c>
      <c r="H29" s="82"/>
      <c r="I29" s="85"/>
      <c r="J29" s="81" t="s">
        <v>150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96400</v>
      </c>
      <c r="F30" s="20">
        <f>SUM(F11:F29)</f>
        <v>5600</v>
      </c>
      <c r="G30" s="44">
        <f>SUM(G11:G29)</f>
        <v>102000</v>
      </c>
      <c r="H30" s="44">
        <f>SUM(H11:H29)</f>
        <v>95400</v>
      </c>
      <c r="I30" s="45"/>
      <c r="J30" s="44"/>
      <c r="K30" s="44">
        <f>SUM(K11:K29)</f>
        <v>6600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9540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/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9540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MAY!K37</f>
        <v>5500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91360</v>
      </c>
      <c r="I37" s="64">
        <v>70000</v>
      </c>
      <c r="J37" s="57"/>
      <c r="K37" s="65">
        <f>H37-I37-J37</f>
        <v>21360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46203</v>
      </c>
      <c r="L38" s="67"/>
      <c r="M38" s="68"/>
    </row>
    <row r="41" spans="1:13">
      <c r="H41" s="11">
        <f>H30/G30*100</f>
        <v>93.529411764705884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3382-A341-4755-B459-E31CAA9AE829}">
  <sheetPr>
    <pageSetUpPr fitToPage="1"/>
  </sheetPr>
  <dimension ref="A1:O41"/>
  <sheetViews>
    <sheetView tabSelected="1" zoomScaleNormal="100" workbookViewId="0">
      <selection activeCell="I16" sqref="I16"/>
    </sheetView>
  </sheetViews>
  <sheetFormatPr defaultColWidth="9" defaultRowHeight="15.75"/>
  <cols>
    <col min="1" max="1" width="5.85546875" style="11" customWidth="1"/>
    <col min="2" max="2" width="24.5703125" style="11" customWidth="1"/>
    <col min="3" max="3" width="12" style="11" customWidth="1"/>
    <col min="4" max="4" width="10.42578125" style="11" customWidth="1"/>
    <col min="5" max="5" width="9.5703125" style="11" customWidth="1"/>
    <col min="6" max="6" width="9" style="11" customWidth="1"/>
    <col min="7" max="7" width="10.425781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165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171</v>
      </c>
      <c r="C11" s="25"/>
      <c r="D11" s="26"/>
      <c r="E11" s="27">
        <v>5000</v>
      </c>
      <c r="F11" s="20">
        <f>JUNE!K11</f>
        <v>0</v>
      </c>
      <c r="G11" s="28">
        <f>D11+E11+F11</f>
        <v>5000</v>
      </c>
      <c r="H11" s="79">
        <f>5000</f>
        <v>5000</v>
      </c>
      <c r="I11" s="80" t="s">
        <v>172</v>
      </c>
      <c r="J11" s="81" t="s">
        <v>164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JUNE!K12</f>
        <v>0</v>
      </c>
      <c r="G12" s="28">
        <f t="shared" ref="G12:G29" si="0">D12+E12+F12</f>
        <v>4000</v>
      </c>
      <c r="H12" s="79"/>
      <c r="I12" s="80"/>
      <c r="J12" s="81" t="s">
        <v>164</v>
      </c>
      <c r="K12" s="28">
        <f t="shared" ref="K12:K29" si="1">G12-H12</f>
        <v>4000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>
        <v>4000</v>
      </c>
      <c r="F13" s="20">
        <f>JUNE!K13</f>
        <v>0</v>
      </c>
      <c r="G13" s="28">
        <f t="shared" si="0"/>
        <v>4000</v>
      </c>
      <c r="H13" s="82"/>
      <c r="I13" s="80"/>
      <c r="J13" s="81" t="s">
        <v>164</v>
      </c>
      <c r="K13" s="28">
        <f t="shared" si="1"/>
        <v>4000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JUNE!K14</f>
        <v>0</v>
      </c>
      <c r="G14" s="28">
        <f t="shared" si="0"/>
        <v>6000</v>
      </c>
      <c r="H14" s="79"/>
      <c r="I14" s="80"/>
      <c r="J14" s="81" t="s">
        <v>164</v>
      </c>
      <c r="K14" s="28">
        <f t="shared" si="1"/>
        <v>6000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JUNE!K15</f>
        <v>0</v>
      </c>
      <c r="G15" s="28">
        <f t="shared" si="0"/>
        <v>6500</v>
      </c>
      <c r="H15" s="79">
        <f>6000</f>
        <v>6000</v>
      </c>
      <c r="I15" s="80" t="s">
        <v>167</v>
      </c>
      <c r="J15" s="81" t="s">
        <v>164</v>
      </c>
      <c r="K15" s="28">
        <f t="shared" si="1"/>
        <v>500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JUNE!K16</f>
        <v>100</v>
      </c>
      <c r="G16" s="28">
        <f t="shared" si="0"/>
        <v>6600</v>
      </c>
      <c r="H16" s="79">
        <f>6500</f>
        <v>6500</v>
      </c>
      <c r="I16" s="80" t="s">
        <v>175</v>
      </c>
      <c r="J16" s="81" t="s">
        <v>164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JUNE!K17</f>
        <v>500</v>
      </c>
      <c r="G17" s="28">
        <f t="shared" si="0"/>
        <v>6000</v>
      </c>
      <c r="H17" s="79"/>
      <c r="I17" s="80"/>
      <c r="J17" s="81" t="s">
        <v>164</v>
      </c>
      <c r="K17" s="28">
        <f t="shared" si="1"/>
        <v>6000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JUNE!K18</f>
        <v>0</v>
      </c>
      <c r="G18" s="28">
        <f t="shared" si="0"/>
        <v>5000</v>
      </c>
      <c r="H18" s="79"/>
      <c r="I18" s="80"/>
      <c r="J18" s="81" t="s">
        <v>164</v>
      </c>
      <c r="K18" s="28">
        <f t="shared" si="1"/>
        <v>5000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>
        <v>5000</v>
      </c>
      <c r="F19" s="20">
        <f>JUNE!K19</f>
        <v>0</v>
      </c>
      <c r="G19" s="28">
        <f t="shared" si="0"/>
        <v>5000</v>
      </c>
      <c r="H19" s="83"/>
      <c r="I19" s="84"/>
      <c r="J19" s="81" t="s">
        <v>164</v>
      </c>
      <c r="K19" s="28">
        <f t="shared" si="1"/>
        <v>5000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JUNE!K20</f>
        <v>0</v>
      </c>
      <c r="G20" s="28">
        <f t="shared" si="0"/>
        <v>3400</v>
      </c>
      <c r="H20" s="79">
        <f>3400</f>
        <v>3400</v>
      </c>
      <c r="I20" s="80" t="s">
        <v>168</v>
      </c>
      <c r="J20" s="81" t="s">
        <v>164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JUNE!K21</f>
        <v>0</v>
      </c>
      <c r="G21" s="28">
        <f t="shared" si="0"/>
        <v>4500</v>
      </c>
      <c r="H21" s="79">
        <f>4500</f>
        <v>4500</v>
      </c>
      <c r="I21" s="80" t="s">
        <v>169</v>
      </c>
      <c r="J21" s="81" t="s">
        <v>164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JUNE!K22</f>
        <v>3000</v>
      </c>
      <c r="G22" s="28">
        <f t="shared" si="0"/>
        <v>11000</v>
      </c>
      <c r="H22" s="79">
        <f>8000</f>
        <v>8000</v>
      </c>
      <c r="I22" s="87" t="s">
        <v>170</v>
      </c>
      <c r="J22" s="81" t="s">
        <v>164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JUNE!K23</f>
        <v>0</v>
      </c>
      <c r="G23" s="28">
        <f t="shared" si="0"/>
        <v>10000</v>
      </c>
      <c r="H23" s="79"/>
      <c r="I23" s="80"/>
      <c r="J23" s="81" t="s">
        <v>164</v>
      </c>
      <c r="K23" s="28">
        <f t="shared" si="1"/>
        <v>10000</v>
      </c>
      <c r="L23" s="32" t="s">
        <v>47</v>
      </c>
      <c r="M23" s="18" t="s">
        <v>25</v>
      </c>
    </row>
    <row r="24" spans="1:15">
      <c r="A24" s="33">
        <v>14</v>
      </c>
      <c r="B24" s="2" t="s">
        <v>112</v>
      </c>
      <c r="C24" s="25"/>
      <c r="D24" s="38"/>
      <c r="E24" s="27">
        <v>4500</v>
      </c>
      <c r="F24" s="20">
        <f>JUNE!K24</f>
        <v>0</v>
      </c>
      <c r="G24" s="28">
        <f t="shared" si="0"/>
        <v>4500</v>
      </c>
      <c r="H24" s="79"/>
      <c r="I24" s="80"/>
      <c r="J24" s="81" t="s">
        <v>164</v>
      </c>
      <c r="K24" s="28">
        <f t="shared" si="1"/>
        <v>4500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JUNE!K25</f>
        <v>3000</v>
      </c>
      <c r="G25" s="28">
        <f t="shared" si="0"/>
        <v>13000</v>
      </c>
      <c r="H25" s="82">
        <f>1500</f>
        <v>1500</v>
      </c>
      <c r="I25" s="80" t="s">
        <v>166</v>
      </c>
      <c r="J25" s="81" t="s">
        <v>164</v>
      </c>
      <c r="K25" s="28">
        <f t="shared" si="1"/>
        <v>11500</v>
      </c>
      <c r="L25" s="40"/>
      <c r="M25" s="18" t="s">
        <v>25</v>
      </c>
    </row>
    <row r="26" spans="1:15">
      <c r="A26" s="33">
        <v>16</v>
      </c>
      <c r="B26" s="2" t="s">
        <v>112</v>
      </c>
      <c r="C26" s="25"/>
      <c r="D26" s="38"/>
      <c r="E26" s="27">
        <v>8000</v>
      </c>
      <c r="F26" s="20">
        <f>JUNE!K26</f>
        <v>0</v>
      </c>
      <c r="G26" s="28">
        <f t="shared" si="0"/>
        <v>8000</v>
      </c>
      <c r="H26" s="82"/>
      <c r="I26" s="85"/>
      <c r="J26" s="81" t="s">
        <v>164</v>
      </c>
      <c r="K26" s="28">
        <f t="shared" si="1"/>
        <v>8000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JUNE!K27</f>
        <v>0</v>
      </c>
      <c r="G27" s="28">
        <f t="shared" si="0"/>
        <v>18000</v>
      </c>
      <c r="H27" s="82">
        <f>18000</f>
        <v>18000</v>
      </c>
      <c r="I27" s="85" t="s">
        <v>174</v>
      </c>
      <c r="J27" s="81" t="s">
        <v>164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JUNE!K28</f>
        <v>0</v>
      </c>
      <c r="G28" s="28">
        <f t="shared" si="0"/>
        <v>9000</v>
      </c>
      <c r="H28" s="82">
        <f>9000</f>
        <v>9000</v>
      </c>
      <c r="I28" s="85" t="s">
        <v>173</v>
      </c>
      <c r="J28" s="81" t="s">
        <v>164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112</v>
      </c>
      <c r="C29" s="25"/>
      <c r="D29" s="38"/>
      <c r="E29" s="27">
        <v>10000</v>
      </c>
      <c r="F29" s="20">
        <f>JUNE!K29</f>
        <v>0</v>
      </c>
      <c r="G29" s="28">
        <f t="shared" si="0"/>
        <v>10000</v>
      </c>
      <c r="H29" s="82"/>
      <c r="I29" s="85"/>
      <c r="J29" s="81" t="s">
        <v>164</v>
      </c>
      <c r="K29" s="28">
        <f t="shared" si="1"/>
        <v>10000</v>
      </c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132900</v>
      </c>
      <c r="F30" s="20">
        <f>SUM(F11:F29)</f>
        <v>6600</v>
      </c>
      <c r="G30" s="44">
        <f>SUM(G11:G29)</f>
        <v>139500</v>
      </c>
      <c r="H30" s="44">
        <f>SUM(H11:H29)</f>
        <v>61900</v>
      </c>
      <c r="I30" s="45"/>
      <c r="J30" s="44"/>
      <c r="K30" s="44">
        <f>SUM(K11:K29)</f>
        <v>77600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6190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/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6190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JUNE!K37</f>
        <v>21360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77070</v>
      </c>
      <c r="I37" s="64"/>
      <c r="J37" s="57"/>
      <c r="K37" s="65">
        <f>H37-I37-J37</f>
        <v>77070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46234</v>
      </c>
      <c r="L38" s="67"/>
      <c r="M38" s="68"/>
    </row>
    <row r="41" spans="1:13">
      <c r="H41" s="11">
        <f>H30/G30*100</f>
        <v>44.372759856630822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JUNE</vt:lpstr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Caren</cp:lastModifiedBy>
  <cp:lastPrinted>2026-07-13T07:41:22Z</cp:lastPrinted>
  <dcterms:created xsi:type="dcterms:W3CDTF">2026-01-03T08:44:43Z</dcterms:created>
  <dcterms:modified xsi:type="dcterms:W3CDTF">2026-07-13T07:43:09Z</dcterms:modified>
</cp:coreProperties>
</file>
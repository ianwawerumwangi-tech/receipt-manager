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LOBBY LINKED\LOBBY WATER AND ELECTRICITY BILLS\BILL 2026\BENVICK\"/>
    </mc:Choice>
  </mc:AlternateContent>
  <xr:revisionPtr revIDLastSave="17" documentId="8_{651662F4-5A28-46C1-8120-C9374150E3D6}" xr6:coauthVersionLast="40" xr6:coauthVersionMax="40" xr10:uidLastSave="{2730B909-9181-4BF2-9315-129F4067C676}"/>
  <bookViews>
    <workbookView xWindow="0" yWindow="0" windowWidth="16170" windowHeight="7260" xr2:uid="{CF651D4A-A4DB-4AB4-BC41-436FEA543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1" i="1" l="1"/>
  <c r="G91" i="1" s="1"/>
  <c r="I91" i="1" s="1"/>
  <c r="K91" i="1" s="1"/>
  <c r="F90" i="1"/>
  <c r="G90" i="1" s="1"/>
  <c r="I90" i="1" s="1"/>
  <c r="K90" i="1" s="1"/>
  <c r="F89" i="1"/>
  <c r="G89" i="1" s="1"/>
  <c r="I89" i="1" s="1"/>
  <c r="K89" i="1" s="1"/>
  <c r="F88" i="1"/>
  <c r="G88" i="1" s="1"/>
  <c r="I88" i="1" s="1"/>
  <c r="K88" i="1" s="1"/>
  <c r="F87" i="1"/>
  <c r="G87" i="1" s="1"/>
  <c r="I87" i="1" s="1"/>
  <c r="K87" i="1" s="1"/>
  <c r="F86" i="1"/>
  <c r="G86" i="1" s="1"/>
  <c r="I86" i="1" s="1"/>
  <c r="K86" i="1" s="1"/>
  <c r="F85" i="1"/>
  <c r="G85" i="1" s="1"/>
  <c r="I85" i="1" s="1"/>
  <c r="K85" i="1" s="1"/>
  <c r="F84" i="1"/>
  <c r="G84" i="1" s="1"/>
  <c r="I84" i="1" s="1"/>
  <c r="K84" i="1" s="1"/>
  <c r="F83" i="1"/>
  <c r="G83" i="1" s="1"/>
  <c r="I83" i="1" s="1"/>
  <c r="K83" i="1" s="1"/>
  <c r="F82" i="1"/>
  <c r="G82" i="1" s="1"/>
  <c r="I82" i="1" s="1"/>
  <c r="K82" i="1" s="1"/>
  <c r="F81" i="1"/>
  <c r="G81" i="1" s="1"/>
  <c r="I81" i="1" s="1"/>
  <c r="K81" i="1" s="1"/>
  <c r="F80" i="1"/>
  <c r="G80" i="1" s="1"/>
  <c r="I80" i="1" s="1"/>
  <c r="K80" i="1" s="1"/>
  <c r="F79" i="1"/>
  <c r="G79" i="1" s="1"/>
  <c r="I79" i="1" s="1"/>
  <c r="K79" i="1" s="1"/>
  <c r="F78" i="1"/>
  <c r="G78" i="1" s="1"/>
  <c r="I78" i="1" s="1"/>
  <c r="K78" i="1" s="1"/>
  <c r="F77" i="1"/>
  <c r="G77" i="1" s="1"/>
  <c r="I77" i="1" s="1"/>
  <c r="K77" i="1" s="1"/>
  <c r="F76" i="1"/>
  <c r="G76" i="1" s="1"/>
  <c r="I76" i="1" s="1"/>
  <c r="K76" i="1" s="1"/>
  <c r="F75" i="1"/>
  <c r="G75" i="1" s="1"/>
  <c r="I75" i="1" s="1"/>
  <c r="K75" i="1" s="1"/>
  <c r="F74" i="1"/>
  <c r="G74" i="1" s="1"/>
  <c r="I74" i="1" s="1"/>
  <c r="K74" i="1" s="1"/>
  <c r="F73" i="1"/>
  <c r="G73" i="1" s="1"/>
  <c r="I73" i="1" s="1"/>
  <c r="K73" i="1" s="1"/>
  <c r="F72" i="1"/>
  <c r="G72" i="1" s="1"/>
  <c r="I72" i="1" s="1"/>
  <c r="K72" i="1" s="1"/>
  <c r="F71" i="1"/>
  <c r="G71" i="1" s="1"/>
  <c r="I71" i="1" s="1"/>
  <c r="K71" i="1" s="1"/>
  <c r="F70" i="1"/>
  <c r="G70" i="1" s="1"/>
  <c r="I70" i="1" s="1"/>
  <c r="K70" i="1" s="1"/>
  <c r="F69" i="1"/>
  <c r="G69" i="1" s="1"/>
  <c r="I69" i="1" s="1"/>
  <c r="K69" i="1" s="1"/>
  <c r="F68" i="1"/>
  <c r="G68" i="1" s="1"/>
  <c r="I68" i="1" s="1"/>
  <c r="K68" i="1" s="1"/>
  <c r="F67" i="1"/>
  <c r="G67" i="1" s="1"/>
  <c r="I67" i="1" s="1"/>
  <c r="K67" i="1" s="1"/>
  <c r="F66" i="1"/>
  <c r="G66" i="1" s="1"/>
  <c r="I66" i="1" s="1"/>
  <c r="K66" i="1" s="1"/>
  <c r="F65" i="1"/>
  <c r="G65" i="1" s="1"/>
  <c r="I65" i="1" s="1"/>
  <c r="K65" i="1" s="1"/>
  <c r="F64" i="1"/>
  <c r="G64" i="1" s="1"/>
  <c r="I64" i="1" s="1"/>
  <c r="K64" i="1" s="1"/>
  <c r="F63" i="1"/>
  <c r="G63" i="1" s="1"/>
  <c r="I63" i="1" s="1"/>
  <c r="K63" i="1" s="1"/>
  <c r="F62" i="1"/>
  <c r="G62" i="1" s="1"/>
  <c r="I62" i="1" s="1"/>
  <c r="K62" i="1" s="1"/>
  <c r="F61" i="1"/>
  <c r="G61" i="1" s="1"/>
  <c r="I61" i="1" s="1"/>
  <c r="K61" i="1" s="1"/>
  <c r="F60" i="1"/>
  <c r="G60" i="1" s="1"/>
  <c r="I60" i="1" s="1"/>
  <c r="K60" i="1" s="1"/>
  <c r="F59" i="1"/>
  <c r="G59" i="1" s="1"/>
  <c r="I59" i="1" s="1"/>
  <c r="K59" i="1" s="1"/>
  <c r="F58" i="1"/>
  <c r="G58" i="1" s="1"/>
  <c r="I58" i="1" s="1"/>
  <c r="K58" i="1" s="1"/>
  <c r="F57" i="1"/>
  <c r="G57" i="1" s="1"/>
  <c r="I57" i="1" s="1"/>
  <c r="K57" i="1" s="1"/>
  <c r="F56" i="1"/>
  <c r="G56" i="1" s="1"/>
  <c r="I56" i="1" s="1"/>
  <c r="K56" i="1" s="1"/>
  <c r="F55" i="1"/>
  <c r="G55" i="1" s="1"/>
  <c r="I55" i="1" s="1"/>
  <c r="K55" i="1" s="1"/>
  <c r="F54" i="1"/>
  <c r="G54" i="1" s="1"/>
  <c r="I54" i="1" s="1"/>
  <c r="K54" i="1" s="1"/>
  <c r="F53" i="1"/>
  <c r="G53" i="1" s="1"/>
  <c r="I53" i="1" s="1"/>
  <c r="K53" i="1" s="1"/>
  <c r="F52" i="1"/>
  <c r="G52" i="1" s="1"/>
  <c r="I52" i="1" s="1"/>
  <c r="K52" i="1" s="1"/>
  <c r="F51" i="1"/>
  <c r="G51" i="1" s="1"/>
  <c r="I51" i="1" s="1"/>
  <c r="K51" i="1" s="1"/>
  <c r="F50" i="1"/>
  <c r="G50" i="1" s="1"/>
  <c r="I50" i="1" s="1"/>
  <c r="K50" i="1" s="1"/>
  <c r="F49" i="1"/>
  <c r="G49" i="1" s="1"/>
  <c r="I49" i="1" s="1"/>
  <c r="K49" i="1" s="1"/>
  <c r="F48" i="1"/>
  <c r="G48" i="1" s="1"/>
  <c r="I48" i="1" s="1"/>
  <c r="K48" i="1" s="1"/>
  <c r="F47" i="1"/>
  <c r="G47" i="1" s="1"/>
  <c r="I47" i="1" s="1"/>
  <c r="K47" i="1" s="1"/>
  <c r="F46" i="1"/>
  <c r="G46" i="1" s="1"/>
  <c r="I46" i="1" s="1"/>
  <c r="K46" i="1" s="1"/>
  <c r="F45" i="1"/>
  <c r="G45" i="1" s="1"/>
  <c r="I45" i="1" s="1"/>
  <c r="K45" i="1" s="1"/>
  <c r="F44" i="1"/>
  <c r="G44" i="1" s="1"/>
  <c r="I44" i="1" s="1"/>
  <c r="K44" i="1" s="1"/>
  <c r="F43" i="1"/>
  <c r="G43" i="1" s="1"/>
  <c r="I43" i="1" s="1"/>
  <c r="K43" i="1" s="1"/>
  <c r="F42" i="1"/>
  <c r="G42" i="1" s="1"/>
  <c r="I42" i="1" s="1"/>
  <c r="K42" i="1" s="1"/>
  <c r="F41" i="1"/>
  <c r="G41" i="1" s="1"/>
  <c r="I41" i="1" s="1"/>
  <c r="K41" i="1" s="1"/>
  <c r="F40" i="1"/>
  <c r="G40" i="1" s="1"/>
  <c r="I40" i="1" s="1"/>
  <c r="K40" i="1" s="1"/>
  <c r="F39" i="1"/>
  <c r="G39" i="1" s="1"/>
  <c r="I39" i="1" s="1"/>
  <c r="K39" i="1" s="1"/>
  <c r="F38" i="1"/>
  <c r="G38" i="1" s="1"/>
  <c r="I38" i="1" s="1"/>
  <c r="K38" i="1" s="1"/>
  <c r="F37" i="1"/>
  <c r="G37" i="1" s="1"/>
  <c r="I37" i="1" s="1"/>
  <c r="K37" i="1" s="1"/>
  <c r="F36" i="1"/>
  <c r="G36" i="1" s="1"/>
  <c r="I36" i="1" s="1"/>
  <c r="K36" i="1" s="1"/>
  <c r="F35" i="1"/>
  <c r="G35" i="1" s="1"/>
  <c r="I35" i="1" s="1"/>
  <c r="K35" i="1" s="1"/>
  <c r="F34" i="1"/>
  <c r="G34" i="1" s="1"/>
  <c r="I34" i="1" s="1"/>
  <c r="K34" i="1" s="1"/>
  <c r="F33" i="1"/>
  <c r="G33" i="1" s="1"/>
  <c r="I33" i="1" s="1"/>
  <c r="K33" i="1" s="1"/>
  <c r="F32" i="1"/>
  <c r="G32" i="1" s="1"/>
  <c r="I32" i="1" s="1"/>
  <c r="K32" i="1" s="1"/>
  <c r="F31" i="1"/>
  <c r="G31" i="1" s="1"/>
  <c r="I31" i="1" s="1"/>
  <c r="K31" i="1" s="1"/>
  <c r="F30" i="1"/>
  <c r="G30" i="1" s="1"/>
  <c r="I30" i="1" s="1"/>
  <c r="K30" i="1" s="1"/>
  <c r="F29" i="1"/>
  <c r="G29" i="1" s="1"/>
  <c r="I29" i="1" s="1"/>
  <c r="K29" i="1" s="1"/>
  <c r="F28" i="1"/>
  <c r="G28" i="1" s="1"/>
  <c r="I28" i="1" s="1"/>
  <c r="K28" i="1" s="1"/>
  <c r="F27" i="1"/>
  <c r="G27" i="1" s="1"/>
  <c r="I27" i="1" s="1"/>
  <c r="K27" i="1" s="1"/>
  <c r="F26" i="1"/>
  <c r="G26" i="1" s="1"/>
  <c r="I26" i="1" s="1"/>
  <c r="K26" i="1" s="1"/>
  <c r="F25" i="1"/>
  <c r="G25" i="1" s="1"/>
  <c r="I25" i="1" s="1"/>
  <c r="K25" i="1" s="1"/>
  <c r="F24" i="1"/>
  <c r="G24" i="1" s="1"/>
  <c r="I24" i="1" s="1"/>
  <c r="K24" i="1" s="1"/>
  <c r="F23" i="1"/>
  <c r="G23" i="1" s="1"/>
  <c r="I23" i="1" s="1"/>
  <c r="K23" i="1" s="1"/>
  <c r="F22" i="1"/>
  <c r="G22" i="1" s="1"/>
  <c r="I22" i="1" s="1"/>
  <c r="K22" i="1" s="1"/>
  <c r="F21" i="1"/>
  <c r="G21" i="1" s="1"/>
  <c r="I21" i="1" s="1"/>
  <c r="K21" i="1" s="1"/>
  <c r="F20" i="1"/>
  <c r="G20" i="1" s="1"/>
  <c r="I20" i="1" s="1"/>
  <c r="K20" i="1" s="1"/>
  <c r="F19" i="1"/>
  <c r="G19" i="1" s="1"/>
  <c r="I19" i="1" s="1"/>
  <c r="K19" i="1" s="1"/>
  <c r="F18" i="1"/>
  <c r="G18" i="1" s="1"/>
  <c r="I18" i="1" s="1"/>
  <c r="K18" i="1" s="1"/>
  <c r="F17" i="1"/>
  <c r="G17" i="1" s="1"/>
  <c r="I17" i="1" s="1"/>
  <c r="K17" i="1" s="1"/>
  <c r="F16" i="1"/>
  <c r="G16" i="1" s="1"/>
  <c r="I16" i="1" s="1"/>
  <c r="K16" i="1" s="1"/>
  <c r="F15" i="1"/>
  <c r="G15" i="1" s="1"/>
  <c r="I15" i="1" s="1"/>
  <c r="K15" i="1" s="1"/>
  <c r="F14" i="1"/>
  <c r="G14" i="1" s="1"/>
  <c r="I14" i="1" s="1"/>
  <c r="K14" i="1" s="1"/>
  <c r="F13" i="1"/>
  <c r="G13" i="1" s="1"/>
  <c r="I13" i="1" s="1"/>
  <c r="K13" i="1" s="1"/>
  <c r="F12" i="1"/>
  <c r="G12" i="1" s="1"/>
  <c r="I12" i="1" s="1"/>
  <c r="K12" i="1" s="1"/>
  <c r="F11" i="1"/>
  <c r="G11" i="1" s="1"/>
  <c r="I11" i="1" s="1"/>
  <c r="K11" i="1" s="1"/>
  <c r="F10" i="1"/>
  <c r="G10" i="1" s="1"/>
  <c r="I10" i="1" s="1"/>
  <c r="K10" i="1" s="1"/>
  <c r="F9" i="1"/>
  <c r="G9" i="1" s="1"/>
  <c r="I9" i="1" s="1"/>
  <c r="K9" i="1" s="1"/>
  <c r="F8" i="1"/>
  <c r="G8" i="1" s="1"/>
  <c r="I8" i="1" s="1"/>
  <c r="K8" i="1" s="1"/>
  <c r="F7" i="1"/>
  <c r="G7" i="1" s="1"/>
  <c r="I7" i="1" s="1"/>
  <c r="K7" i="1" s="1"/>
  <c r="F6" i="1"/>
  <c r="G6" i="1" s="1"/>
  <c r="I6" i="1" s="1"/>
  <c r="K6" i="1" s="1"/>
  <c r="F5" i="1"/>
  <c r="G5" i="1" s="1"/>
  <c r="I5" i="1" s="1"/>
  <c r="K5" i="1" s="1"/>
  <c r="F4" i="1"/>
  <c r="G4" i="1" s="1"/>
  <c r="I4" i="1" s="1"/>
  <c r="K4" i="1" s="1"/>
  <c r="F3" i="1"/>
  <c r="G3" i="1" s="1"/>
  <c r="I3" i="1" s="1"/>
  <c r="K3" i="1" s="1"/>
</calcChain>
</file>

<file path=xl/sharedStrings.xml><?xml version="1.0" encoding="utf-8"?>
<sst xmlns="http://schemas.openxmlformats.org/spreadsheetml/2006/main" count="264" uniqueCount="263">
  <si>
    <t>BENVIC WATER BILL</t>
  </si>
  <si>
    <t>PHONE NO</t>
  </si>
  <si>
    <t>NAME</t>
  </si>
  <si>
    <t>CURRENT</t>
  </si>
  <si>
    <t>PREVIOUS</t>
  </si>
  <si>
    <t>CONSUMPTION</t>
  </si>
  <si>
    <t>WATER BILL</t>
  </si>
  <si>
    <t>BAL B/D</t>
  </si>
  <si>
    <t>TOTAL BILL</t>
  </si>
  <si>
    <t>GARBAGE</t>
  </si>
  <si>
    <t>WATER &amp; GARBAGE BILL DUE</t>
  </si>
  <si>
    <t>0715448346</t>
  </si>
  <si>
    <t>JULIUS OTIENO</t>
  </si>
  <si>
    <t>0719102522</t>
  </si>
  <si>
    <t>COLLINS KHISA</t>
  </si>
  <si>
    <t>0719880713</t>
  </si>
  <si>
    <t>PETER NYANGUTHII</t>
  </si>
  <si>
    <t>0719594734</t>
  </si>
  <si>
    <t>VICTOR OTIENO</t>
  </si>
  <si>
    <t>0712540247</t>
  </si>
  <si>
    <t>EVARISTE NZEYIMANA</t>
  </si>
  <si>
    <t>0100880532</t>
  </si>
  <si>
    <t>WASHINGTON OTIENO</t>
  </si>
  <si>
    <t>0723995101</t>
  </si>
  <si>
    <t>KENNEDY ANDAYI</t>
  </si>
  <si>
    <t>0723292992</t>
  </si>
  <si>
    <t>PETER OUKO</t>
  </si>
  <si>
    <t>0794063821</t>
  </si>
  <si>
    <t>KELVIN MUREITHI</t>
  </si>
  <si>
    <t>MARTIN</t>
  </si>
  <si>
    <t>0720500185</t>
  </si>
  <si>
    <t>CHRIS</t>
  </si>
  <si>
    <t>0757359915</t>
  </si>
  <si>
    <t>EDWIN KAGIRI</t>
  </si>
  <si>
    <t>0794821812</t>
  </si>
  <si>
    <t>COLLINS OCHIENG</t>
  </si>
  <si>
    <t>0728829598</t>
  </si>
  <si>
    <t>HANNAH WANJIRU</t>
  </si>
  <si>
    <t>0711827336/0111345460</t>
  </si>
  <si>
    <t>MARK ODHIAMBO</t>
  </si>
  <si>
    <t>0723101783</t>
  </si>
  <si>
    <t>MAINA</t>
  </si>
  <si>
    <t>0757392499</t>
  </si>
  <si>
    <t>OBUNGA OCHIENG</t>
  </si>
  <si>
    <t>0740827345</t>
  </si>
  <si>
    <t>DERRICK OKIKA</t>
  </si>
  <si>
    <t>0119940469</t>
  </si>
  <si>
    <t>EVANS MUNALI</t>
  </si>
  <si>
    <t>0711300338</t>
  </si>
  <si>
    <t>JANE ADERO</t>
  </si>
  <si>
    <t>0711317609</t>
  </si>
  <si>
    <t xml:space="preserve">HILLARY </t>
  </si>
  <si>
    <t>0712043293</t>
  </si>
  <si>
    <t>KENNEDY BARASA</t>
  </si>
  <si>
    <t>VACANT</t>
  </si>
  <si>
    <t>0701515671</t>
  </si>
  <si>
    <t>MELVIN NDUBI</t>
  </si>
  <si>
    <t>0791634221</t>
  </si>
  <si>
    <t>VALLARIE NYANDIKO</t>
  </si>
  <si>
    <t>0710944029</t>
  </si>
  <si>
    <t>STEPHEN NYONGESA</t>
  </si>
  <si>
    <t>0710681224</t>
  </si>
  <si>
    <t>TIMOTHY</t>
  </si>
  <si>
    <t>0713372932</t>
  </si>
  <si>
    <t>PETER IRUNGU</t>
  </si>
  <si>
    <t>0790128792</t>
  </si>
  <si>
    <t>GABRIEL LANDO</t>
  </si>
  <si>
    <t>0720519150</t>
  </si>
  <si>
    <t>OKUMU  ANYANGO</t>
  </si>
  <si>
    <t>0701790939</t>
  </si>
  <si>
    <t>DENNIS MWENDWA</t>
  </si>
  <si>
    <t>0720141557</t>
  </si>
  <si>
    <t>ERICK OMONDI</t>
  </si>
  <si>
    <t>0708744323</t>
  </si>
  <si>
    <t>ALFRED LIBESE</t>
  </si>
  <si>
    <t>0722319508</t>
  </si>
  <si>
    <t>CHARLES</t>
  </si>
  <si>
    <t>0708276700</t>
  </si>
  <si>
    <t>CHARLES ONYANGO</t>
  </si>
  <si>
    <t>0718420374</t>
  </si>
  <si>
    <t>ANTONY NYANGWESO</t>
  </si>
  <si>
    <t>0716776758</t>
  </si>
  <si>
    <t>SALOME NDOLO</t>
  </si>
  <si>
    <t>0114084934</t>
  </si>
  <si>
    <t>JAMES MUCHANGI</t>
  </si>
  <si>
    <t>0728212124</t>
  </si>
  <si>
    <t>FREDRICK OUMA</t>
  </si>
  <si>
    <t>FREDRICK ADAMBA</t>
  </si>
  <si>
    <t>0.705247047</t>
  </si>
  <si>
    <t>COLLINS KIPRONO</t>
  </si>
  <si>
    <t>0729673638</t>
  </si>
  <si>
    <t>LAWRENCE</t>
  </si>
  <si>
    <t>0114859665</t>
  </si>
  <si>
    <t>EPIPHANY MBINYA</t>
  </si>
  <si>
    <t>0790133641</t>
  </si>
  <si>
    <t>MWEMA</t>
  </si>
  <si>
    <t>070786138</t>
  </si>
  <si>
    <t>SHARON</t>
  </si>
  <si>
    <t>0727970598</t>
  </si>
  <si>
    <t>ANNE</t>
  </si>
  <si>
    <t>0703125444</t>
  </si>
  <si>
    <t>YVONNE KADUKA</t>
  </si>
  <si>
    <t>0723998659</t>
  </si>
  <si>
    <t>CYRUS MWANGI</t>
  </si>
  <si>
    <t>079513138</t>
  </si>
  <si>
    <t>HASSAN MASINDE</t>
  </si>
  <si>
    <t>0711350264</t>
  </si>
  <si>
    <t>EDGAR MBITHE</t>
  </si>
  <si>
    <t>0719492279</t>
  </si>
  <si>
    <t>CHARLES MUSUNDI</t>
  </si>
  <si>
    <t>0766492580</t>
  </si>
  <si>
    <t>JOSEPH MUTUA</t>
  </si>
  <si>
    <t>0113136869</t>
  </si>
  <si>
    <t>HELLEN OCHIENG</t>
  </si>
  <si>
    <t>0716177532</t>
  </si>
  <si>
    <t>CASTRO</t>
  </si>
  <si>
    <t>0717663319</t>
  </si>
  <si>
    <t>MICHEAL OWINO</t>
  </si>
  <si>
    <t>0101702188</t>
  </si>
  <si>
    <t>PAULINE KIMAMA</t>
  </si>
  <si>
    <t>0734210603</t>
  </si>
  <si>
    <t>ALFRED ODUOR</t>
  </si>
  <si>
    <t>0722202113</t>
  </si>
  <si>
    <t>DEDAN WESONGA</t>
  </si>
  <si>
    <t>0704420406</t>
  </si>
  <si>
    <t>VIRGINIA</t>
  </si>
  <si>
    <t>0708043703</t>
  </si>
  <si>
    <t>MERCY MAKOKHA</t>
  </si>
  <si>
    <t>0717475187</t>
  </si>
  <si>
    <t>BONIFACE OCHIENG</t>
  </si>
  <si>
    <t>0706443889</t>
  </si>
  <si>
    <t>JOHN OTIENO</t>
  </si>
  <si>
    <t>0742251763</t>
  </si>
  <si>
    <t>BRIAN</t>
  </si>
  <si>
    <t>0745378287</t>
  </si>
  <si>
    <t>THOMAS JUMA</t>
  </si>
  <si>
    <t>0710529993</t>
  </si>
  <si>
    <t>COLLINS KIMAYA</t>
  </si>
  <si>
    <t>O704784821</t>
  </si>
  <si>
    <t>MONICA OYUNJE</t>
  </si>
  <si>
    <t>0704521661</t>
  </si>
  <si>
    <t>MWENDWA</t>
  </si>
  <si>
    <t>0720200170</t>
  </si>
  <si>
    <t>0742261203</t>
  </si>
  <si>
    <t>0752043433</t>
  </si>
  <si>
    <t>GEOFFREY ONYANGO</t>
  </si>
  <si>
    <t>0700529722</t>
  </si>
  <si>
    <t>FABRICE GUGANIRE</t>
  </si>
  <si>
    <t>0727334222</t>
  </si>
  <si>
    <t>ELVIS</t>
  </si>
  <si>
    <t>0710812957</t>
  </si>
  <si>
    <t>JAMES MUNGAI</t>
  </si>
  <si>
    <t>079089978</t>
  </si>
  <si>
    <t>BRIA N OCHIENG</t>
  </si>
  <si>
    <t>0722780044</t>
  </si>
  <si>
    <t>MILLICENT KURIA</t>
  </si>
  <si>
    <t>0769401777</t>
  </si>
  <si>
    <t>TURSHEL RUSHEL</t>
  </si>
  <si>
    <t>0790604526</t>
  </si>
  <si>
    <t xml:space="preserve">DENNIS </t>
  </si>
  <si>
    <t>0797208460</t>
  </si>
  <si>
    <t>GEORGE NYAMBURA</t>
  </si>
  <si>
    <t>0112085152</t>
  </si>
  <si>
    <t>JAQUELINE  ATIENO</t>
  </si>
  <si>
    <t>0724007316</t>
  </si>
  <si>
    <t>QUINTEROCIENG</t>
  </si>
  <si>
    <t>0705247048</t>
  </si>
  <si>
    <t>VINCENT OKETCH</t>
  </si>
  <si>
    <t>JACQUILINE ATIENO</t>
  </si>
  <si>
    <t>BRIAN MUMO</t>
  </si>
  <si>
    <t>SCHOLA</t>
  </si>
  <si>
    <t>0712365984</t>
  </si>
  <si>
    <t>FREDRICK</t>
  </si>
  <si>
    <t>HSE NO</t>
  </si>
  <si>
    <t>GB1</t>
  </si>
  <si>
    <t>GB2</t>
  </si>
  <si>
    <t>GB3(STORE)</t>
  </si>
  <si>
    <t>GB4(STORE)</t>
  </si>
  <si>
    <t>GB5</t>
  </si>
  <si>
    <t>GB6</t>
  </si>
  <si>
    <t>GB7</t>
  </si>
  <si>
    <t>GB8</t>
  </si>
  <si>
    <t>GB9</t>
  </si>
  <si>
    <t>GB10</t>
  </si>
  <si>
    <t>GB11</t>
  </si>
  <si>
    <t>GB12</t>
  </si>
  <si>
    <t>GB13</t>
  </si>
  <si>
    <t>BA1</t>
  </si>
  <si>
    <t>BA2</t>
  </si>
  <si>
    <t>BA3</t>
  </si>
  <si>
    <t>BA4</t>
  </si>
  <si>
    <t>BA5</t>
  </si>
  <si>
    <t>BA6</t>
  </si>
  <si>
    <t>BA7</t>
  </si>
  <si>
    <t>BA8</t>
  </si>
  <si>
    <t>BA9</t>
  </si>
  <si>
    <t>BA10</t>
  </si>
  <si>
    <t>BA11</t>
  </si>
  <si>
    <t>BA12</t>
  </si>
  <si>
    <t>BA13</t>
  </si>
  <si>
    <t>BA14</t>
  </si>
  <si>
    <t>BA15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</si>
  <si>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</si>
  <si>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</si>
  <si>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</si>
  <si>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</si>
  <si>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</si>
  <si>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</si>
  <si>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</si>
  <si>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</si>
  <si>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</si>
  <si>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</si>
  <si>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</si>
  <si>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BB12(LLD)</t>
  </si>
  <si>
    <t>BB13</t>
  </si>
  <si>
    <t>BB14</t>
  </si>
  <si>
    <t>BB15</t>
  </si>
  <si>
    <t>BC1</t>
  </si>
  <si>
    <t>BC2</t>
  </si>
  <si>
    <t>BC3</t>
  </si>
  <si>
    <t>BC4</t>
  </si>
  <si>
    <t>BC5</t>
  </si>
  <si>
    <t>BC6</t>
  </si>
  <si>
    <t>BC7</t>
  </si>
  <si>
    <t>BC8</t>
  </si>
  <si>
    <t>BC9</t>
  </si>
  <si>
    <t>BC10</t>
  </si>
  <si>
    <t>BC11</t>
  </si>
  <si>
    <t>BC12</t>
  </si>
  <si>
    <t>BC13</t>
  </si>
  <si>
    <t>BC14</t>
  </si>
  <si>
    <t>BC15</t>
  </si>
  <si>
    <t>BD1</t>
  </si>
  <si>
    <t>BD2</t>
  </si>
  <si>
    <t>BD3</t>
  </si>
  <si>
    <t>BD4</t>
  </si>
  <si>
    <t>BD5</t>
  </si>
  <si>
    <t>BD6</t>
  </si>
  <si>
    <t>BD7</t>
  </si>
  <si>
    <t>BD8</t>
  </si>
  <si>
    <t>BD9</t>
  </si>
  <si>
    <t>BD10</t>
  </si>
  <si>
    <t>BD11</t>
  </si>
  <si>
    <t>BD12</t>
  </si>
  <si>
    <t>BD13</t>
  </si>
  <si>
    <t>BD14</t>
  </si>
  <si>
    <t>BD15</t>
  </si>
  <si>
    <t>BE1</t>
  </si>
  <si>
    <t>BE2</t>
  </si>
  <si>
    <t>BE3</t>
  </si>
  <si>
    <t>BE4</t>
  </si>
  <si>
    <t>BE5</t>
  </si>
  <si>
    <t>BE6</t>
  </si>
  <si>
    <t>BE7</t>
  </si>
  <si>
    <t>BE8</t>
  </si>
  <si>
    <t>BE9</t>
  </si>
  <si>
    <t>BE10</t>
  </si>
  <si>
    <t>BE11(LLD)</t>
  </si>
  <si>
    <t>BE12</t>
  </si>
  <si>
    <t>BE13</t>
  </si>
  <si>
    <t>BE14</t>
  </si>
  <si>
    <t>BE15</t>
  </si>
  <si>
    <t>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</si>
</sst>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2" xfId="1" applyNumberFormat="1" applyFont="1" applyFill="1" applyBorder="1"/>
    <xf numFmtId="164" fontId="4" fillId="0" borderId="2" xfId="1" applyNumberFormat="1" applyFont="1" applyFill="1" applyBorder="1"/>
    <xf numFmtId="164" fontId="4" fillId="0" borderId="2" xfId="1" applyNumberFormat="1" applyFont="1" applyFill="1" applyBorder="1" applyAlignment="1">
      <alignment wrapText="1"/>
    </xf>
    <xf numFmtId="0" fontId="5" fillId="0" borderId="2" xfId="0" quotePrefix="1" applyFont="1" applyBorder="1"/>
    <xf numFmtId="0" fontId="5" fillId="0" borderId="2" xfId="0" applyFont="1" applyBorder="1"/>
    <xf numFmtId="0" fontId="0" fillId="0" borderId="2" xfId="0" applyBorder="1"/>
    <xf numFmtId="0" fontId="5" fillId="2" borderId="2" xfId="0" quotePrefix="1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0" fillId="0" borderId="2" xfId="0" quotePrefix="1" applyBorder="1" applyAlignment="1">
      <alignment horizontal="right"/>
    </xf>
    <xf numFmtId="0" fontId="0" fillId="0" borderId="2" xfId="0" applyFill="1" applyBorder="1"/>
    <xf numFmtId="0" fontId="0" fillId="0" borderId="0" xfId="0" applyFill="1"/>
    <xf numFmtId="0" fontId="0" fillId="0" borderId="2" xfId="0" applyFont="1" applyFill="1" applyBorder="1"/>
    <xf numFmtId="0" fontId="2" fillId="0" borderId="2" xfId="0" applyFont="1" applyFill="1" applyBorder="1"/>
    <xf numFmtId="0" fontId="0" fillId="0" borderId="2" xfId="0" quotePrefix="1" applyFill="1" applyBorder="1" applyAlignment="1">
      <alignment horizontal="right"/>
    </xf>
    <xf numFmtId="0" fontId="0" fillId="0" borderId="1" xfId="0" applyFill="1" applyBorder="1"/>
    <xf numFmtId="49" fontId="5" fillId="0" borderId="2" xfId="0" quotePrefix="1" applyNumberFormat="1" applyFont="1" applyFill="1" applyBorder="1"/>
    <xf numFmtId="0" fontId="0" fillId="2" borderId="2" xfId="0" quotePrefix="1" applyFill="1" applyBorder="1" applyAlignment="1">
      <alignment horizontal="right"/>
    </xf>
    <xf numFmtId="0" fontId="5" fillId="0" borderId="0" xfId="0" applyFont="1" applyFill="1"/>
    <xf numFmtId="49" fontId="5" fillId="0" borderId="2" xfId="0" quotePrefix="1" applyNumberFormat="1" applyFont="1" applyBorder="1"/>
    <xf numFmtId="0" fontId="5" fillId="0" borderId="0" xfId="0" applyFont="1"/>
    <xf numFmtId="0" fontId="6" fillId="0" borderId="2" xfId="1" applyNumberFormat="1" applyFont="1" applyFill="1" applyBorder="1"/>
    <xf numFmtId="0" fontId="6" fillId="2" borderId="2" xfId="1" applyNumberFormat="1" applyFont="1" applyFill="1" applyBorder="1"/>
    <xf numFmtId="0" fontId="0" fillId="2" borderId="1" xfId="0" applyFill="1" applyBorder="1"/>
    <xf numFmtId="0" fontId="0" fillId="0" borderId="3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4875-BDF0-43EC-99EC-AB7B39C1C84D}">
  <sheetPr>
    <pageSetUpPr fitToPage="1"/>
  </sheetPr>
  <dimension ref="A1:L91"/>
  <sheetViews>
    <sheetView tabSelected="1" workbookViewId="0">
      <selection activeCell="A2" sqref="A2:A91"/>
    </sheetView>
  </sheetViews>
  <sheetFormatPr defaultRowHeight="15" x14ac:dyDescent="0.25"/>
  <cols>
    <col min="3" max="3" width="17" customWidth="1"/>
    <col min="4" max="4" width="12" customWidth="1"/>
    <col min="5" max="5" width="12.42578125" customWidth="1"/>
    <col min="6" max="6" width="16.140625" customWidth="1"/>
    <col min="7" max="7" width="13.85546875" customWidth="1"/>
    <col min="8" max="8" width="11.7109375" customWidth="1"/>
    <col min="9" max="9" width="12.85546875" customWidth="1"/>
    <col min="10" max="10" width="18" customWidth="1"/>
    <col min="11" max="11" width="20.28515625" customWidth="1"/>
  </cols>
  <sheetData>
    <row r="1" spans="1:12" ht="15.75" x14ac:dyDescent="0.25">
      <c r="B1" s="1"/>
      <c r="C1" s="1"/>
      <c r="D1" s="1"/>
      <c r="E1" s="2" t="s">
        <v>0</v>
      </c>
      <c r="F1" s="1"/>
      <c r="G1" s="1"/>
      <c r="H1" s="1"/>
      <c r="I1" s="1"/>
      <c r="J1" s="1"/>
      <c r="K1" s="1"/>
    </row>
    <row r="2" spans="1:12" ht="30" x14ac:dyDescent="0.25">
      <c r="A2" s="3" t="s">
        <v>173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4" t="s">
        <v>7</v>
      </c>
      <c r="I2" s="5" t="s">
        <v>8</v>
      </c>
      <c r="J2" s="4" t="s">
        <v>9</v>
      </c>
      <c r="K2" s="5" t="s">
        <v>10</v>
      </c>
    </row>
    <row r="3" spans="1:12" x14ac:dyDescent="0.25">
      <c r="A3" s="24" t="s">
        <v>174</v>
      </c>
      <c r="B3" s="7" t="s">
        <v>12</v>
      </c>
      <c r="C3" s="6" t="s">
        <v>11</v>
      </c>
      <c r="D3" s="8">
        <v>137</v>
      </c>
      <c r="E3" s="8">
        <v>136</v>
      </c>
      <c r="F3" s="8">
        <f>D3-E3</f>
        <v>1</v>
      </c>
      <c r="G3" s="8">
        <f>F3*150</f>
        <v>150</v>
      </c>
      <c r="H3" s="8">
        <v>0</v>
      </c>
      <c r="I3" s="8">
        <f>G3</f>
        <v>150</v>
      </c>
      <c r="J3" s="8">
        <v>0</v>
      </c>
      <c r="K3" s="8">
        <f>I3+J3</f>
        <v>150</v>
      </c>
    </row>
    <row r="4" spans="1:12" x14ac:dyDescent="0.25">
      <c r="A4" s="25" t="s">
        <v>175</v>
      </c>
      <c r="B4" s="7" t="s">
        <v>14</v>
      </c>
      <c r="C4" s="6" t="s">
        <v>13</v>
      </c>
      <c r="D4" s="11">
        <v>334</v>
      </c>
      <c r="E4" s="11">
        <v>324</v>
      </c>
      <c r="F4" s="11">
        <f>D4-E4</f>
        <v>10</v>
      </c>
      <c r="G4" s="11">
        <f t="shared" ref="G4:G67" si="0">F4*150</f>
        <v>1500</v>
      </c>
      <c r="H4" s="11">
        <v>0</v>
      </c>
      <c r="I4" s="11">
        <f t="shared" ref="I4:I67" si="1">G4</f>
        <v>1500</v>
      </c>
      <c r="J4" s="11">
        <v>0</v>
      </c>
      <c r="K4" s="11">
        <f t="shared" ref="K4:K67" si="2">I4+J4</f>
        <v>1500</v>
      </c>
    </row>
    <row r="5" spans="1:12" x14ac:dyDescent="0.25">
      <c r="A5" s="24" t="s">
        <v>176</v>
      </c>
      <c r="B5" s="7"/>
      <c r="C5" s="7"/>
      <c r="D5" s="12">
        <v>21</v>
      </c>
      <c r="E5" s="12">
        <v>18</v>
      </c>
      <c r="F5" s="8">
        <f t="shared" ref="F5:F39" si="3">D5-E5</f>
        <v>3</v>
      </c>
      <c r="G5" s="8">
        <f t="shared" si="0"/>
        <v>450</v>
      </c>
      <c r="H5" s="8">
        <v>0</v>
      </c>
      <c r="I5" s="8">
        <f t="shared" si="1"/>
        <v>450</v>
      </c>
      <c r="J5" s="8">
        <v>0</v>
      </c>
      <c r="K5" s="8">
        <f t="shared" si="2"/>
        <v>450</v>
      </c>
    </row>
    <row r="6" spans="1:12" x14ac:dyDescent="0.25">
      <c r="A6" s="24" t="s">
        <v>177</v>
      </c>
      <c r="B6" s="7"/>
      <c r="C6" s="7"/>
      <c r="D6" s="8">
        <v>82</v>
      </c>
      <c r="E6" s="8">
        <v>82</v>
      </c>
      <c r="F6" s="8">
        <f t="shared" si="3"/>
        <v>0</v>
      </c>
      <c r="G6" s="8">
        <f t="shared" si="0"/>
        <v>0</v>
      </c>
      <c r="H6" s="8">
        <v>0</v>
      </c>
      <c r="I6" s="8">
        <f t="shared" si="1"/>
        <v>0</v>
      </c>
      <c r="J6" s="8">
        <v>0</v>
      </c>
      <c r="K6" s="8">
        <f t="shared" si="2"/>
        <v>0</v>
      </c>
    </row>
    <row r="7" spans="1:12" x14ac:dyDescent="0.25">
      <c r="A7" s="25" t="s">
        <v>178</v>
      </c>
      <c r="B7" s="10" t="s">
        <v>16</v>
      </c>
      <c r="C7" s="9" t="s">
        <v>15</v>
      </c>
      <c r="D7" s="11">
        <v>254</v>
      </c>
      <c r="E7" s="11">
        <v>252</v>
      </c>
      <c r="F7" s="11">
        <f t="shared" si="3"/>
        <v>2</v>
      </c>
      <c r="G7" s="11">
        <f t="shared" si="0"/>
        <v>300</v>
      </c>
      <c r="H7" s="11">
        <v>0</v>
      </c>
      <c r="I7" s="11">
        <f t="shared" si="1"/>
        <v>300</v>
      </c>
      <c r="J7" s="11">
        <v>0</v>
      </c>
      <c r="K7" s="11">
        <f t="shared" si="2"/>
        <v>300</v>
      </c>
    </row>
    <row r="8" spans="1:12" x14ac:dyDescent="0.25">
      <c r="A8" s="24" t="s">
        <v>179</v>
      </c>
      <c r="B8" s="7" t="s">
        <v>18</v>
      </c>
      <c r="C8" s="6" t="s">
        <v>17</v>
      </c>
      <c r="D8" s="13">
        <v>156</v>
      </c>
      <c r="E8" s="13">
        <v>153</v>
      </c>
      <c r="F8" s="13">
        <f t="shared" si="3"/>
        <v>3</v>
      </c>
      <c r="G8" s="13">
        <f t="shared" si="0"/>
        <v>450</v>
      </c>
      <c r="H8" s="13">
        <v>0</v>
      </c>
      <c r="I8" s="13">
        <f t="shared" si="1"/>
        <v>450</v>
      </c>
      <c r="J8" s="13">
        <v>0</v>
      </c>
      <c r="K8" s="13">
        <f t="shared" si="2"/>
        <v>450</v>
      </c>
      <c r="L8" s="14"/>
    </row>
    <row r="9" spans="1:12" x14ac:dyDescent="0.25">
      <c r="A9" s="25" t="s">
        <v>180</v>
      </c>
      <c r="B9" s="7" t="s">
        <v>20</v>
      </c>
      <c r="C9" s="6" t="s">
        <v>19</v>
      </c>
      <c r="D9" s="11">
        <v>312</v>
      </c>
      <c r="E9" s="11">
        <v>297</v>
      </c>
      <c r="F9" s="11">
        <f t="shared" si="3"/>
        <v>15</v>
      </c>
      <c r="G9" s="11">
        <f t="shared" si="0"/>
        <v>2250</v>
      </c>
      <c r="H9" s="11">
        <v>0</v>
      </c>
      <c r="I9" s="11">
        <f t="shared" si="1"/>
        <v>2250</v>
      </c>
      <c r="J9" s="11">
        <v>0</v>
      </c>
      <c r="K9" s="11">
        <f t="shared" si="2"/>
        <v>2250</v>
      </c>
    </row>
    <row r="10" spans="1:12" x14ac:dyDescent="0.25">
      <c r="A10" s="25" t="s">
        <v>181</v>
      </c>
      <c r="B10" s="10" t="s">
        <v>22</v>
      </c>
      <c r="C10" s="9" t="s">
        <v>21</v>
      </c>
      <c r="D10" s="11">
        <v>429</v>
      </c>
      <c r="E10" s="11">
        <v>415</v>
      </c>
      <c r="F10" s="11">
        <f t="shared" si="3"/>
        <v>14</v>
      </c>
      <c r="G10" s="11">
        <f t="shared" si="0"/>
        <v>2100</v>
      </c>
      <c r="H10" s="11">
        <v>0</v>
      </c>
      <c r="I10" s="11">
        <f t="shared" si="1"/>
        <v>2100</v>
      </c>
      <c r="J10" s="11">
        <v>0</v>
      </c>
      <c r="K10" s="11">
        <f t="shared" si="2"/>
        <v>2100</v>
      </c>
    </row>
    <row r="11" spans="1:12" x14ac:dyDescent="0.25">
      <c r="A11" s="24" t="s">
        <v>182</v>
      </c>
      <c r="B11" s="7" t="s">
        <v>24</v>
      </c>
      <c r="C11" s="6" t="s">
        <v>23</v>
      </c>
      <c r="D11" s="15">
        <v>678</v>
      </c>
      <c r="E11" s="15">
        <v>661</v>
      </c>
      <c r="F11" s="13">
        <f t="shared" si="3"/>
        <v>17</v>
      </c>
      <c r="G11" s="13">
        <f t="shared" si="0"/>
        <v>2550</v>
      </c>
      <c r="H11" s="13">
        <v>0</v>
      </c>
      <c r="I11" s="13">
        <f t="shared" si="1"/>
        <v>2550</v>
      </c>
      <c r="J11" s="13">
        <v>0</v>
      </c>
      <c r="K11" s="13">
        <f t="shared" si="2"/>
        <v>2550</v>
      </c>
      <c r="L11" s="14"/>
    </row>
    <row r="12" spans="1:12" x14ac:dyDescent="0.25">
      <c r="A12" s="24" t="s">
        <v>183</v>
      </c>
      <c r="B12" s="7" t="s">
        <v>26</v>
      </c>
      <c r="C12" s="6" t="s">
        <v>25</v>
      </c>
      <c r="D12" s="13">
        <v>142</v>
      </c>
      <c r="E12" s="13">
        <v>140</v>
      </c>
      <c r="F12" s="13">
        <f t="shared" si="3"/>
        <v>2</v>
      </c>
      <c r="G12" s="13">
        <f t="shared" si="0"/>
        <v>300</v>
      </c>
      <c r="H12" s="13">
        <v>0</v>
      </c>
      <c r="I12" s="13">
        <f t="shared" si="1"/>
        <v>300</v>
      </c>
      <c r="J12" s="13">
        <v>0</v>
      </c>
      <c r="K12" s="13">
        <f t="shared" si="2"/>
        <v>300</v>
      </c>
      <c r="L12" s="14"/>
    </row>
    <row r="13" spans="1:12" x14ac:dyDescent="0.25">
      <c r="A13" s="24" t="s">
        <v>184</v>
      </c>
      <c r="B13" s="7" t="s">
        <v>28</v>
      </c>
      <c r="C13" s="6" t="s">
        <v>27</v>
      </c>
      <c r="D13" s="13">
        <v>90</v>
      </c>
      <c r="E13" s="13">
        <v>88</v>
      </c>
      <c r="F13" s="13">
        <f t="shared" si="3"/>
        <v>2</v>
      </c>
      <c r="G13" s="13">
        <f t="shared" si="0"/>
        <v>300</v>
      </c>
      <c r="H13" s="13">
        <v>0</v>
      </c>
      <c r="I13" s="13">
        <f t="shared" si="1"/>
        <v>300</v>
      </c>
      <c r="J13" s="13">
        <v>0</v>
      </c>
      <c r="K13" s="13">
        <f t="shared" si="2"/>
        <v>300</v>
      </c>
      <c r="L13" s="14"/>
    </row>
    <row r="14" spans="1:12" x14ac:dyDescent="0.25">
      <c r="A14" s="24" t="s">
        <v>185</v>
      </c>
      <c r="B14" s="7" t="s">
        <v>29</v>
      </c>
      <c r="C14" s="6" t="s">
        <v>162</v>
      </c>
      <c r="D14" s="13">
        <v>35</v>
      </c>
      <c r="E14" s="13">
        <v>33</v>
      </c>
      <c r="F14" s="13">
        <f t="shared" si="3"/>
        <v>2</v>
      </c>
      <c r="G14" s="13">
        <f t="shared" si="0"/>
        <v>300</v>
      </c>
      <c r="H14" s="13">
        <v>0</v>
      </c>
      <c r="I14" s="13">
        <f t="shared" si="1"/>
        <v>300</v>
      </c>
      <c r="J14" s="13">
        <v>0</v>
      </c>
      <c r="K14" s="13">
        <f t="shared" si="2"/>
        <v>300</v>
      </c>
      <c r="L14" s="14"/>
    </row>
    <row r="15" spans="1:12" x14ac:dyDescent="0.25">
      <c r="A15" s="24" t="s">
        <v>186</v>
      </c>
      <c r="B15" s="7" t="s">
        <v>31</v>
      </c>
      <c r="C15" s="6" t="s">
        <v>30</v>
      </c>
      <c r="D15" s="13">
        <v>194</v>
      </c>
      <c r="E15" s="13">
        <v>189</v>
      </c>
      <c r="F15" s="13">
        <f t="shared" si="3"/>
        <v>5</v>
      </c>
      <c r="G15" s="13">
        <f t="shared" si="0"/>
        <v>750</v>
      </c>
      <c r="H15" s="13">
        <v>0</v>
      </c>
      <c r="I15" s="13">
        <f t="shared" si="1"/>
        <v>750</v>
      </c>
      <c r="J15" s="13">
        <v>0</v>
      </c>
      <c r="K15" s="13">
        <f t="shared" si="2"/>
        <v>750</v>
      </c>
      <c r="L15" s="14"/>
    </row>
    <row r="16" spans="1:12" x14ac:dyDescent="0.25">
      <c r="A16" s="24" t="s">
        <v>187</v>
      </c>
      <c r="B16" s="7" t="s">
        <v>33</v>
      </c>
      <c r="C16" s="6" t="s">
        <v>32</v>
      </c>
      <c r="D16" s="13">
        <v>276</v>
      </c>
      <c r="E16" s="13">
        <v>270</v>
      </c>
      <c r="F16" s="13">
        <f t="shared" si="3"/>
        <v>6</v>
      </c>
      <c r="G16" s="13">
        <f t="shared" si="0"/>
        <v>900</v>
      </c>
      <c r="H16" s="13">
        <v>0</v>
      </c>
      <c r="I16" s="13">
        <f t="shared" si="1"/>
        <v>900</v>
      </c>
      <c r="J16" s="13">
        <v>0</v>
      </c>
      <c r="K16" s="13">
        <f t="shared" si="2"/>
        <v>900</v>
      </c>
      <c r="L16" s="14"/>
    </row>
    <row r="17" spans="1:12" x14ac:dyDescent="0.25">
      <c r="A17" s="24" t="s">
        <v>188</v>
      </c>
      <c r="B17" s="7" t="s">
        <v>35</v>
      </c>
      <c r="C17" s="6" t="s">
        <v>34</v>
      </c>
      <c r="D17" s="13">
        <v>478</v>
      </c>
      <c r="E17" s="13">
        <v>473</v>
      </c>
      <c r="F17" s="13">
        <f t="shared" si="3"/>
        <v>5</v>
      </c>
      <c r="G17" s="13">
        <f t="shared" si="0"/>
        <v>750</v>
      </c>
      <c r="H17" s="13">
        <v>0</v>
      </c>
      <c r="I17" s="13">
        <f t="shared" si="1"/>
        <v>750</v>
      </c>
      <c r="J17" s="13">
        <v>0</v>
      </c>
      <c r="K17" s="13">
        <f t="shared" si="2"/>
        <v>750</v>
      </c>
      <c r="L17" s="14"/>
    </row>
    <row r="18" spans="1:12" x14ac:dyDescent="0.25">
      <c r="A18" s="24" t="s">
        <v>189</v>
      </c>
      <c r="B18" s="7" t="s">
        <v>37</v>
      </c>
      <c r="C18" s="6" t="s">
        <v>36</v>
      </c>
      <c r="D18" s="13">
        <v>499</v>
      </c>
      <c r="E18" s="13">
        <v>496</v>
      </c>
      <c r="F18" s="13">
        <f t="shared" si="3"/>
        <v>3</v>
      </c>
      <c r="G18" s="13">
        <f t="shared" si="0"/>
        <v>450</v>
      </c>
      <c r="H18" s="13">
        <v>0</v>
      </c>
      <c r="I18" s="13">
        <f t="shared" si="1"/>
        <v>450</v>
      </c>
      <c r="J18" s="13">
        <v>0</v>
      </c>
      <c r="K18" s="13">
        <f t="shared" si="2"/>
        <v>450</v>
      </c>
      <c r="L18" s="14"/>
    </row>
    <row r="19" spans="1:12" x14ac:dyDescent="0.25">
      <c r="A19" s="24" t="s">
        <v>190</v>
      </c>
      <c r="B19" s="7" t="s">
        <v>39</v>
      </c>
      <c r="C19" s="6" t="s">
        <v>38</v>
      </c>
      <c r="D19" s="13">
        <v>331</v>
      </c>
      <c r="E19" s="13">
        <v>326</v>
      </c>
      <c r="F19" s="13">
        <f t="shared" si="3"/>
        <v>5</v>
      </c>
      <c r="G19" s="13">
        <f t="shared" si="0"/>
        <v>750</v>
      </c>
      <c r="H19" s="13">
        <v>0</v>
      </c>
      <c r="I19" s="13">
        <f t="shared" si="1"/>
        <v>750</v>
      </c>
      <c r="J19" s="13">
        <v>0</v>
      </c>
      <c r="K19" s="13">
        <f t="shared" si="2"/>
        <v>750</v>
      </c>
      <c r="L19" s="14"/>
    </row>
    <row r="20" spans="1:12" x14ac:dyDescent="0.25">
      <c r="A20" s="24" t="s">
        <v>191</v>
      </c>
      <c r="B20" s="7" t="s">
        <v>41</v>
      </c>
      <c r="C20" s="6" t="s">
        <v>40</v>
      </c>
      <c r="D20" s="13">
        <v>233</v>
      </c>
      <c r="E20" s="13">
        <v>229</v>
      </c>
      <c r="F20" s="13">
        <f t="shared" si="3"/>
        <v>4</v>
      </c>
      <c r="G20" s="13">
        <f t="shared" si="0"/>
        <v>600</v>
      </c>
      <c r="H20" s="13">
        <v>0</v>
      </c>
      <c r="I20" s="13">
        <f t="shared" si="1"/>
        <v>600</v>
      </c>
      <c r="J20" s="13">
        <v>0</v>
      </c>
      <c r="K20" s="13">
        <f t="shared" si="2"/>
        <v>600</v>
      </c>
      <c r="L20" s="14"/>
    </row>
    <row r="21" spans="1:12" x14ac:dyDescent="0.25">
      <c r="A21" s="24" t="s">
        <v>192</v>
      </c>
      <c r="B21" s="7" t="s">
        <v>43</v>
      </c>
      <c r="C21" s="6" t="s">
        <v>42</v>
      </c>
      <c r="D21" s="13">
        <v>194</v>
      </c>
      <c r="E21" s="13">
        <v>191</v>
      </c>
      <c r="F21" s="13">
        <f t="shared" si="3"/>
        <v>3</v>
      </c>
      <c r="G21" s="13">
        <f t="shared" si="0"/>
        <v>450</v>
      </c>
      <c r="H21" s="13">
        <v>0</v>
      </c>
      <c r="I21" s="13">
        <f t="shared" si="1"/>
        <v>450</v>
      </c>
      <c r="J21" s="13">
        <v>0</v>
      </c>
      <c r="K21" s="13">
        <f t="shared" si="2"/>
        <v>450</v>
      </c>
      <c r="L21" s="14"/>
    </row>
    <row r="22" spans="1:12" x14ac:dyDescent="0.25">
      <c r="A22" s="24" t="s">
        <v>193</v>
      </c>
      <c r="B22" s="7" t="s">
        <v>45</v>
      </c>
      <c r="C22" s="6" t="s">
        <v>44</v>
      </c>
      <c r="D22" s="13">
        <v>245</v>
      </c>
      <c r="E22" s="13">
        <v>241</v>
      </c>
      <c r="F22" s="13">
        <f t="shared" si="3"/>
        <v>4</v>
      </c>
      <c r="G22" s="13">
        <f t="shared" si="0"/>
        <v>600</v>
      </c>
      <c r="H22" s="13">
        <v>0</v>
      </c>
      <c r="I22" s="13">
        <f t="shared" si="1"/>
        <v>600</v>
      </c>
      <c r="J22" s="13">
        <v>0</v>
      </c>
      <c r="K22" s="13">
        <f t="shared" si="2"/>
        <v>600</v>
      </c>
      <c r="L22" s="14"/>
    </row>
    <row r="23" spans="1:12" x14ac:dyDescent="0.25">
      <c r="A23" s="24" t="s">
        <v>194</v>
      </c>
      <c r="B23" s="7" t="s">
        <v>47</v>
      </c>
      <c r="C23" s="6" t="s">
        <v>46</v>
      </c>
      <c r="D23" s="15">
        <v>369</v>
      </c>
      <c r="E23" s="15">
        <v>354</v>
      </c>
      <c r="F23" s="13">
        <f t="shared" si="3"/>
        <v>15</v>
      </c>
      <c r="G23" s="13">
        <f t="shared" si="0"/>
        <v>2250</v>
      </c>
      <c r="H23" s="13">
        <v>0</v>
      </c>
      <c r="I23" s="13">
        <f t="shared" si="1"/>
        <v>2250</v>
      </c>
      <c r="J23" s="13">
        <v>0</v>
      </c>
      <c r="K23" s="13">
        <f t="shared" si="2"/>
        <v>2250</v>
      </c>
      <c r="L23" s="14"/>
    </row>
    <row r="24" spans="1:12" x14ac:dyDescent="0.25">
      <c r="A24" s="24" t="s">
        <v>195</v>
      </c>
      <c r="B24" s="7" t="s">
        <v>49</v>
      </c>
      <c r="C24" s="6" t="s">
        <v>48</v>
      </c>
      <c r="D24" s="13">
        <v>739</v>
      </c>
      <c r="E24" s="13">
        <v>716</v>
      </c>
      <c r="F24" s="13">
        <f t="shared" si="3"/>
        <v>23</v>
      </c>
      <c r="G24" s="13">
        <f t="shared" si="0"/>
        <v>3450</v>
      </c>
      <c r="H24" s="13">
        <v>0</v>
      </c>
      <c r="I24" s="13">
        <f t="shared" si="1"/>
        <v>3450</v>
      </c>
      <c r="J24" s="13">
        <v>0</v>
      </c>
      <c r="K24" s="13">
        <f t="shared" si="2"/>
        <v>3450</v>
      </c>
      <c r="L24" s="14"/>
    </row>
    <row r="25" spans="1:12" x14ac:dyDescent="0.25">
      <c r="A25" s="24" t="s">
        <v>196</v>
      </c>
      <c r="B25" s="7" t="s">
        <v>51</v>
      </c>
      <c r="C25" s="6" t="s">
        <v>50</v>
      </c>
      <c r="D25" s="8">
        <v>480</v>
      </c>
      <c r="E25" s="8">
        <v>471</v>
      </c>
      <c r="F25" s="8">
        <f t="shared" si="3"/>
        <v>9</v>
      </c>
      <c r="G25" s="8">
        <f t="shared" si="0"/>
        <v>1350</v>
      </c>
      <c r="H25" s="8">
        <v>0</v>
      </c>
      <c r="I25" s="8">
        <f t="shared" si="1"/>
        <v>1350</v>
      </c>
      <c r="J25" s="8">
        <v>0</v>
      </c>
      <c r="K25" s="8">
        <f t="shared" si="2"/>
        <v>1350</v>
      </c>
    </row>
    <row r="26" spans="1:12" x14ac:dyDescent="0.25">
      <c r="A26" s="25" t="s">
        <v>197</v>
      </c>
      <c r="B26" s="7" t="s">
        <v>53</v>
      </c>
      <c r="C26" s="6" t="s">
        <v>52</v>
      </c>
      <c r="D26" s="11">
        <v>345</v>
      </c>
      <c r="E26" s="11">
        <v>336</v>
      </c>
      <c r="F26" s="11">
        <f t="shared" si="3"/>
        <v>9</v>
      </c>
      <c r="G26" s="11">
        <f t="shared" si="0"/>
        <v>1350</v>
      </c>
      <c r="H26" s="11">
        <v>0</v>
      </c>
      <c r="I26" s="11">
        <f t="shared" si="1"/>
        <v>1350</v>
      </c>
      <c r="J26" s="11">
        <v>0</v>
      </c>
      <c r="K26" s="11">
        <f t="shared" si="2"/>
        <v>1350</v>
      </c>
    </row>
    <row r="27" spans="1:12" x14ac:dyDescent="0.25">
      <c r="A27" s="24" t="s">
        <v>198</v>
      </c>
      <c r="B27" s="7" t="s">
        <v>163</v>
      </c>
      <c r="C27" s="6" t="s">
        <v>164</v>
      </c>
      <c r="D27" s="13">
        <v>313</v>
      </c>
      <c r="E27" s="13">
        <v>310</v>
      </c>
      <c r="F27" s="13">
        <f t="shared" si="3"/>
        <v>3</v>
      </c>
      <c r="G27" s="13">
        <f t="shared" si="0"/>
        <v>450</v>
      </c>
      <c r="H27" s="13">
        <v>0</v>
      </c>
      <c r="I27" s="13">
        <f t="shared" si="1"/>
        <v>450</v>
      </c>
      <c r="J27" s="13">
        <v>0</v>
      </c>
      <c r="K27" s="13">
        <f t="shared" si="2"/>
        <v>450</v>
      </c>
      <c r="L27" s="14"/>
    </row>
    <row r="28" spans="1:12" x14ac:dyDescent="0.25">
      <c r="A28" s="24" t="s">
        <v>199</v>
      </c>
      <c r="B28" s="7" t="s">
        <v>56</v>
      </c>
      <c r="C28" s="6" t="s">
        <v>55</v>
      </c>
      <c r="D28" s="13">
        <v>327</v>
      </c>
      <c r="E28" s="13">
        <v>325</v>
      </c>
      <c r="F28" s="13">
        <f t="shared" si="3"/>
        <v>2</v>
      </c>
      <c r="G28" s="13">
        <f t="shared" si="0"/>
        <v>300</v>
      </c>
      <c r="H28" s="13">
        <v>0</v>
      </c>
      <c r="I28" s="13">
        <f t="shared" si="1"/>
        <v>300</v>
      </c>
      <c r="J28" s="13"/>
      <c r="K28" s="13">
        <f t="shared" si="2"/>
        <v>300</v>
      </c>
      <c r="L28" s="14"/>
    </row>
    <row r="29" spans="1:12" x14ac:dyDescent="0.25">
      <c r="A29" s="24" t="s">
        <v>200</v>
      </c>
      <c r="B29" s="7" t="s">
        <v>58</v>
      </c>
      <c r="C29" s="6" t="s">
        <v>57</v>
      </c>
      <c r="D29" s="13">
        <v>274</v>
      </c>
      <c r="E29" s="13">
        <v>271</v>
      </c>
      <c r="F29" s="13">
        <f t="shared" si="3"/>
        <v>3</v>
      </c>
      <c r="G29" s="13">
        <f t="shared" si="0"/>
        <v>450</v>
      </c>
      <c r="H29" s="13">
        <v>0</v>
      </c>
      <c r="I29" s="13">
        <f t="shared" si="1"/>
        <v>450</v>
      </c>
      <c r="J29" s="13">
        <v>0</v>
      </c>
      <c r="K29" s="13">
        <f t="shared" si="2"/>
        <v>450</v>
      </c>
      <c r="L29" s="14"/>
    </row>
    <row r="30" spans="1:12" x14ac:dyDescent="0.25">
      <c r="A30" s="24" t="s">
        <v>201</v>
      </c>
      <c r="B30" s="7" t="s">
        <v>60</v>
      </c>
      <c r="C30" s="6" t="s">
        <v>59</v>
      </c>
      <c r="D30" s="13">
        <v>239</v>
      </c>
      <c r="E30" s="13">
        <v>238</v>
      </c>
      <c r="F30" s="13">
        <f t="shared" si="3"/>
        <v>1</v>
      </c>
      <c r="G30" s="13">
        <f t="shared" si="0"/>
        <v>150</v>
      </c>
      <c r="H30" s="13">
        <v>0</v>
      </c>
      <c r="I30" s="13">
        <f t="shared" si="1"/>
        <v>150</v>
      </c>
      <c r="J30" s="13">
        <v>0</v>
      </c>
      <c r="K30" s="13">
        <f t="shared" si="2"/>
        <v>150</v>
      </c>
      <c r="L30" s="14"/>
    </row>
    <row r="31" spans="1:12" x14ac:dyDescent="0.25">
      <c r="A31" s="24" t="s">
        <v>202</v>
      </c>
      <c r="B31" s="7" t="s">
        <v>62</v>
      </c>
      <c r="C31" s="6" t="s">
        <v>61</v>
      </c>
      <c r="D31" s="13">
        <v>177</v>
      </c>
      <c r="E31" s="13">
        <v>175</v>
      </c>
      <c r="F31" s="13">
        <f t="shared" si="3"/>
        <v>2</v>
      </c>
      <c r="G31" s="13">
        <f t="shared" si="0"/>
        <v>300</v>
      </c>
      <c r="H31" s="13">
        <v>0</v>
      </c>
      <c r="I31" s="13">
        <f t="shared" si="1"/>
        <v>300</v>
      </c>
      <c r="J31" s="13">
        <v>0</v>
      </c>
      <c r="K31" s="13">
        <f t="shared" si="2"/>
        <v>300</v>
      </c>
      <c r="L31" s="14"/>
    </row>
    <row r="32" spans="1:12" x14ac:dyDescent="0.25">
      <c r="A32" s="24" t="s">
        <v>203</v>
      </c>
      <c r="B32" s="7" t="s">
        <v>54</v>
      </c>
      <c r="C32" s="6"/>
      <c r="D32" s="13">
        <v>121</v>
      </c>
      <c r="E32" s="13">
        <v>121</v>
      </c>
      <c r="F32" s="13">
        <f t="shared" si="3"/>
        <v>0</v>
      </c>
      <c r="G32" s="13">
        <f t="shared" si="0"/>
        <v>0</v>
      </c>
      <c r="H32" s="13">
        <v>0</v>
      </c>
      <c r="I32" s="13">
        <f t="shared" si="1"/>
        <v>0</v>
      </c>
      <c r="J32" s="13">
        <v>0</v>
      </c>
      <c r="K32" s="13">
        <f t="shared" si="2"/>
        <v>0</v>
      </c>
      <c r="L32" s="14"/>
    </row>
    <row r="33" spans="1:12" x14ac:dyDescent="0.25">
      <c r="A33" s="24" t="s">
        <v>204</v>
      </c>
      <c r="B33" s="7" t="s">
        <v>64</v>
      </c>
      <c r="C33" s="6" t="s">
        <v>63</v>
      </c>
      <c r="D33" s="13">
        <v>243</v>
      </c>
      <c r="E33" s="13">
        <v>238</v>
      </c>
      <c r="F33" s="13">
        <f t="shared" si="3"/>
        <v>5</v>
      </c>
      <c r="G33" s="13">
        <f t="shared" si="0"/>
        <v>750</v>
      </c>
      <c r="H33" s="13">
        <v>0</v>
      </c>
      <c r="I33" s="13">
        <f t="shared" si="1"/>
        <v>750</v>
      </c>
      <c r="J33" s="13"/>
      <c r="K33" s="13">
        <f t="shared" si="2"/>
        <v>750</v>
      </c>
      <c r="L33" s="14"/>
    </row>
    <row r="34" spans="1:12" x14ac:dyDescent="0.25">
      <c r="A34" s="25" t="s">
        <v>205</v>
      </c>
      <c r="B34" s="7" t="s">
        <v>54</v>
      </c>
      <c r="C34" s="6"/>
      <c r="D34" s="11">
        <v>286</v>
      </c>
      <c r="E34" s="11">
        <v>277</v>
      </c>
      <c r="F34" s="11">
        <f t="shared" si="3"/>
        <v>9</v>
      </c>
      <c r="G34" s="11">
        <f t="shared" si="0"/>
        <v>1350</v>
      </c>
      <c r="H34" s="11">
        <v>0</v>
      </c>
      <c r="I34" s="11">
        <f t="shared" si="1"/>
        <v>1350</v>
      </c>
      <c r="J34" s="11">
        <v>0</v>
      </c>
      <c r="K34" s="11">
        <f t="shared" si="2"/>
        <v>1350</v>
      </c>
    </row>
    <row r="35" spans="1:12" x14ac:dyDescent="0.25">
      <c r="A35" s="24" t="s">
        <v>206</v>
      </c>
      <c r="B35" s="7" t="s">
        <v>66</v>
      </c>
      <c r="C35" s="6" t="s">
        <v>65</v>
      </c>
      <c r="D35" s="13">
        <v>285</v>
      </c>
      <c r="E35" s="13">
        <v>281</v>
      </c>
      <c r="F35" s="13">
        <f t="shared" si="3"/>
        <v>4</v>
      </c>
      <c r="G35" s="13">
        <f t="shared" si="0"/>
        <v>600</v>
      </c>
      <c r="H35" s="13">
        <v>0</v>
      </c>
      <c r="I35" s="13">
        <f t="shared" si="1"/>
        <v>600</v>
      </c>
      <c r="J35" s="13">
        <v>0</v>
      </c>
      <c r="K35" s="13">
        <f t="shared" si="2"/>
        <v>600</v>
      </c>
      <c r="L35" s="14"/>
    </row>
    <row r="36" spans="1:12" x14ac:dyDescent="0.25">
      <c r="A36" s="24" t="s">
        <v>207</v>
      </c>
      <c r="B36" s="7" t="s">
        <v>68</v>
      </c>
      <c r="C36" s="6" t="s">
        <v>67</v>
      </c>
      <c r="D36" s="13">
        <v>176</v>
      </c>
      <c r="E36" s="13">
        <v>173</v>
      </c>
      <c r="F36" s="13">
        <f t="shared" si="3"/>
        <v>3</v>
      </c>
      <c r="G36" s="13">
        <f t="shared" si="0"/>
        <v>450</v>
      </c>
      <c r="H36" s="13">
        <v>0</v>
      </c>
      <c r="I36" s="13">
        <f t="shared" si="1"/>
        <v>450</v>
      </c>
      <c r="J36" s="13">
        <v>0</v>
      </c>
      <c r="K36" s="13">
        <f t="shared" si="2"/>
        <v>450</v>
      </c>
      <c r="L36" s="14"/>
    </row>
    <row r="37" spans="1:12" x14ac:dyDescent="0.25">
      <c r="A37" s="24" t="s">
        <v>208</v>
      </c>
      <c r="B37" s="7" t="s">
        <v>70</v>
      </c>
      <c r="C37" s="6" t="s">
        <v>69</v>
      </c>
      <c r="D37" s="13">
        <v>154</v>
      </c>
      <c r="E37" s="13">
        <v>153</v>
      </c>
      <c r="F37" s="13">
        <f t="shared" si="3"/>
        <v>1</v>
      </c>
      <c r="G37" s="13">
        <f t="shared" si="0"/>
        <v>150</v>
      </c>
      <c r="H37" s="13">
        <v>0</v>
      </c>
      <c r="I37" s="13">
        <f t="shared" si="1"/>
        <v>150</v>
      </c>
      <c r="J37" s="13">
        <v>0</v>
      </c>
      <c r="K37" s="13">
        <f t="shared" si="2"/>
        <v>150</v>
      </c>
      <c r="L37" s="14"/>
    </row>
    <row r="38" spans="1:12" x14ac:dyDescent="0.25">
      <c r="A38" s="24" t="s">
        <v>209</v>
      </c>
      <c r="B38" s="7" t="s">
        <v>165</v>
      </c>
      <c r="C38" s="6"/>
      <c r="D38" s="13">
        <v>163</v>
      </c>
      <c r="E38" s="13">
        <v>148</v>
      </c>
      <c r="F38" s="13">
        <f t="shared" si="3"/>
        <v>15</v>
      </c>
      <c r="G38" s="13">
        <f t="shared" si="0"/>
        <v>2250</v>
      </c>
      <c r="H38" s="13">
        <v>0</v>
      </c>
      <c r="I38" s="13">
        <f t="shared" si="1"/>
        <v>2250</v>
      </c>
      <c r="J38" s="13">
        <v>0</v>
      </c>
      <c r="K38" s="13">
        <f t="shared" si="2"/>
        <v>2250</v>
      </c>
      <c r="L38" s="14"/>
    </row>
    <row r="39" spans="1:12" x14ac:dyDescent="0.25">
      <c r="A39" s="24" t="s">
        <v>210</v>
      </c>
      <c r="B39" s="7" t="s">
        <v>72</v>
      </c>
      <c r="C39" s="6" t="s">
        <v>71</v>
      </c>
      <c r="D39" s="13">
        <v>400</v>
      </c>
      <c r="E39" s="13">
        <v>381</v>
      </c>
      <c r="F39" s="13">
        <f t="shared" si="3"/>
        <v>19</v>
      </c>
      <c r="G39" s="13">
        <f t="shared" si="0"/>
        <v>2850</v>
      </c>
      <c r="H39" s="13">
        <v>0</v>
      </c>
      <c r="I39" s="13">
        <f t="shared" si="1"/>
        <v>2850</v>
      </c>
      <c r="J39" s="13">
        <v>0</v>
      </c>
      <c r="K39" s="13">
        <f t="shared" si="2"/>
        <v>2850</v>
      </c>
      <c r="L39" s="14"/>
    </row>
    <row r="40" spans="1:12" x14ac:dyDescent="0.25">
      <c r="A40" s="24" t="s">
        <v>211</v>
      </c>
      <c r="B40" s="7" t="s">
        <v>74</v>
      </c>
      <c r="C40" s="6" t="s">
        <v>73</v>
      </c>
      <c r="D40" s="13">
        <v>363</v>
      </c>
      <c r="E40" s="13">
        <v>350</v>
      </c>
      <c r="F40" s="13">
        <f>D40-E40</f>
        <v>13</v>
      </c>
      <c r="G40" s="13">
        <f t="shared" si="0"/>
        <v>1950</v>
      </c>
      <c r="H40" s="13">
        <v>0</v>
      </c>
      <c r="I40" s="13">
        <f t="shared" si="1"/>
        <v>1950</v>
      </c>
      <c r="J40" s="13">
        <v>0</v>
      </c>
      <c r="K40" s="13">
        <f t="shared" si="2"/>
        <v>1950</v>
      </c>
      <c r="L40" s="14"/>
    </row>
    <row r="41" spans="1:12" x14ac:dyDescent="0.25">
      <c r="A41" s="24" t="s">
        <v>212</v>
      </c>
      <c r="B41" s="7" t="s">
        <v>76</v>
      </c>
      <c r="C41" s="6" t="s">
        <v>75</v>
      </c>
      <c r="D41" s="13">
        <v>182</v>
      </c>
      <c r="E41" s="13">
        <v>179</v>
      </c>
      <c r="F41" s="13">
        <f t="shared" ref="F41:F90" si="4">D41-E41</f>
        <v>3</v>
      </c>
      <c r="G41" s="13">
        <f t="shared" si="0"/>
        <v>450</v>
      </c>
      <c r="H41" s="13">
        <v>0</v>
      </c>
      <c r="I41" s="13">
        <f t="shared" si="1"/>
        <v>450</v>
      </c>
      <c r="J41" s="13">
        <v>0</v>
      </c>
      <c r="K41" s="13">
        <f t="shared" si="2"/>
        <v>450</v>
      </c>
      <c r="L41" s="14"/>
    </row>
    <row r="42" spans="1:12" x14ac:dyDescent="0.25">
      <c r="A42" s="24" t="s">
        <v>213</v>
      </c>
      <c r="B42" s="7"/>
      <c r="C42" s="7"/>
      <c r="D42" s="13">
        <v>258</v>
      </c>
      <c r="E42" s="13">
        <v>252</v>
      </c>
      <c r="F42" s="13">
        <f t="shared" si="4"/>
        <v>6</v>
      </c>
      <c r="G42" s="13">
        <f t="shared" si="0"/>
        <v>900</v>
      </c>
      <c r="H42" s="13">
        <v>0</v>
      </c>
      <c r="I42" s="13">
        <f t="shared" si="1"/>
        <v>900</v>
      </c>
      <c r="J42" s="13">
        <v>0</v>
      </c>
      <c r="K42" s="13">
        <f t="shared" si="2"/>
        <v>900</v>
      </c>
      <c r="L42" s="14"/>
    </row>
    <row r="43" spans="1:12" x14ac:dyDescent="0.25">
      <c r="A43" s="24" t="s">
        <v>214</v>
      </c>
      <c r="B43" s="7" t="s">
        <v>78</v>
      </c>
      <c r="C43" s="6" t="s">
        <v>77</v>
      </c>
      <c r="D43" s="13">
        <v>258</v>
      </c>
      <c r="E43" s="13">
        <v>249</v>
      </c>
      <c r="F43" s="13">
        <f t="shared" si="4"/>
        <v>9</v>
      </c>
      <c r="G43" s="13">
        <f t="shared" si="0"/>
        <v>1350</v>
      </c>
      <c r="H43" s="13">
        <v>0</v>
      </c>
      <c r="I43" s="13">
        <f t="shared" si="1"/>
        <v>1350</v>
      </c>
      <c r="J43" s="13"/>
      <c r="K43" s="13">
        <f t="shared" si="2"/>
        <v>1350</v>
      </c>
      <c r="L43" s="14"/>
    </row>
    <row r="44" spans="1:12" x14ac:dyDescent="0.25">
      <c r="A44" s="24" t="s">
        <v>215</v>
      </c>
      <c r="B44" s="7" t="s">
        <v>80</v>
      </c>
      <c r="C44" s="6" t="s">
        <v>79</v>
      </c>
      <c r="D44" s="13">
        <v>190</v>
      </c>
      <c r="E44" s="13">
        <v>184</v>
      </c>
      <c r="F44" s="13">
        <f t="shared" si="4"/>
        <v>6</v>
      </c>
      <c r="G44" s="13">
        <f t="shared" si="0"/>
        <v>900</v>
      </c>
      <c r="H44" s="13">
        <v>0</v>
      </c>
      <c r="I44" s="13">
        <f t="shared" si="1"/>
        <v>900</v>
      </c>
      <c r="J44" s="13">
        <v>0</v>
      </c>
      <c r="K44" s="13">
        <f t="shared" si="2"/>
        <v>900</v>
      </c>
      <c r="L44" s="14"/>
    </row>
    <row r="45" spans="1:12" x14ac:dyDescent="0.25">
      <c r="A45" s="24" t="s">
        <v>216</v>
      </c>
      <c r="B45" s="7" t="s">
        <v>82</v>
      </c>
      <c r="C45" s="6" t="s">
        <v>81</v>
      </c>
      <c r="D45" s="13">
        <v>146</v>
      </c>
      <c r="E45" s="13">
        <v>140</v>
      </c>
      <c r="F45" s="13">
        <f t="shared" si="4"/>
        <v>6</v>
      </c>
      <c r="G45" s="13">
        <f t="shared" si="0"/>
        <v>900</v>
      </c>
      <c r="H45" s="13">
        <v>0</v>
      </c>
      <c r="I45" s="13">
        <f t="shared" si="1"/>
        <v>900</v>
      </c>
      <c r="J45" s="13">
        <v>0</v>
      </c>
      <c r="K45" s="13">
        <f t="shared" si="2"/>
        <v>900</v>
      </c>
      <c r="L45" s="14"/>
    </row>
    <row r="46" spans="1:12" x14ac:dyDescent="0.25">
      <c r="A46" s="24" t="s">
        <v>217</v>
      </c>
      <c r="B46" s="7" t="s">
        <v>84</v>
      </c>
      <c r="C46" s="6" t="s">
        <v>83</v>
      </c>
      <c r="D46" s="13">
        <v>316</v>
      </c>
      <c r="E46" s="13">
        <v>312</v>
      </c>
      <c r="F46" s="13">
        <f t="shared" si="4"/>
        <v>4</v>
      </c>
      <c r="G46" s="13">
        <f t="shared" si="0"/>
        <v>600</v>
      </c>
      <c r="H46" s="13">
        <v>0</v>
      </c>
      <c r="I46" s="13">
        <f t="shared" si="1"/>
        <v>600</v>
      </c>
      <c r="J46" s="13">
        <v>0</v>
      </c>
      <c r="K46" s="13">
        <f t="shared" si="2"/>
        <v>600</v>
      </c>
      <c r="L46" s="14"/>
    </row>
    <row r="47" spans="1:12" x14ac:dyDescent="0.25">
      <c r="A47" s="13" t="s">
        <v>218</v>
      </c>
      <c r="B47" s="7" t="s">
        <v>86</v>
      </c>
      <c r="C47" s="6" t="s">
        <v>85</v>
      </c>
      <c r="D47" s="13">
        <v>340</v>
      </c>
      <c r="E47" s="13">
        <v>330</v>
      </c>
      <c r="F47" s="13">
        <f t="shared" si="4"/>
        <v>10</v>
      </c>
      <c r="G47" s="13">
        <f t="shared" si="0"/>
        <v>1500</v>
      </c>
      <c r="H47" s="13">
        <v>0</v>
      </c>
      <c r="I47" s="13">
        <f t="shared" si="1"/>
        <v>1500</v>
      </c>
      <c r="J47" s="16">
        <v>0</v>
      </c>
      <c r="K47" s="13">
        <f t="shared" si="2"/>
        <v>1500</v>
      </c>
      <c r="L47" s="14"/>
    </row>
    <row r="48" spans="1:12" x14ac:dyDescent="0.25">
      <c r="A48" s="13" t="s">
        <v>219</v>
      </c>
      <c r="B48" s="7" t="s">
        <v>87</v>
      </c>
      <c r="C48" s="6" t="s">
        <v>166</v>
      </c>
      <c r="D48" s="17">
        <v>214</v>
      </c>
      <c r="E48" s="17">
        <v>214</v>
      </c>
      <c r="F48" s="13">
        <f t="shared" si="4"/>
        <v>0</v>
      </c>
      <c r="G48" s="13">
        <f t="shared" si="0"/>
        <v>0</v>
      </c>
      <c r="H48" s="13">
        <v>0</v>
      </c>
      <c r="I48" s="13">
        <f t="shared" si="1"/>
        <v>0</v>
      </c>
      <c r="J48" s="13">
        <v>0</v>
      </c>
      <c r="K48" s="13">
        <f t="shared" si="2"/>
        <v>0</v>
      </c>
      <c r="L48" s="14"/>
    </row>
    <row r="49" spans="1:12" x14ac:dyDescent="0.25">
      <c r="A49" s="13" t="s">
        <v>220</v>
      </c>
      <c r="B49" s="7" t="s">
        <v>167</v>
      </c>
      <c r="C49" s="6"/>
      <c r="D49" s="13">
        <v>315</v>
      </c>
      <c r="E49" s="13">
        <v>314</v>
      </c>
      <c r="F49" s="13">
        <f t="shared" si="4"/>
        <v>1</v>
      </c>
      <c r="G49" s="13">
        <f t="shared" si="0"/>
        <v>150</v>
      </c>
      <c r="H49" s="13">
        <v>0</v>
      </c>
      <c r="I49" s="13">
        <f t="shared" si="1"/>
        <v>150</v>
      </c>
      <c r="J49" s="13">
        <v>0</v>
      </c>
      <c r="K49" s="13">
        <f t="shared" si="2"/>
        <v>150</v>
      </c>
      <c r="L49" s="14"/>
    </row>
    <row r="50" spans="1:12" x14ac:dyDescent="0.25">
      <c r="A50" s="13" t="s">
        <v>221</v>
      </c>
      <c r="B50" s="7" t="s">
        <v>89</v>
      </c>
      <c r="C50" s="6" t="s">
        <v>88</v>
      </c>
      <c r="D50" s="13">
        <v>209</v>
      </c>
      <c r="E50" s="13">
        <v>204</v>
      </c>
      <c r="F50" s="13">
        <f t="shared" si="4"/>
        <v>5</v>
      </c>
      <c r="G50" s="13">
        <f t="shared" si="0"/>
        <v>750</v>
      </c>
      <c r="H50" s="13">
        <v>0</v>
      </c>
      <c r="I50" s="13">
        <f t="shared" si="1"/>
        <v>750</v>
      </c>
      <c r="J50" s="13">
        <v>0</v>
      </c>
      <c r="K50" s="13">
        <f t="shared" si="2"/>
        <v>750</v>
      </c>
      <c r="L50" s="14"/>
    </row>
    <row r="51" spans="1:12" x14ac:dyDescent="0.25">
      <c r="A51" s="16" t="s">
        <v>222</v>
      </c>
      <c r="B51" s="7" t="s">
        <v>91</v>
      </c>
      <c r="C51" s="6" t="s">
        <v>90</v>
      </c>
      <c r="D51" s="16">
        <v>253</v>
      </c>
      <c r="E51" s="16">
        <v>245</v>
      </c>
      <c r="F51" s="16">
        <f t="shared" si="4"/>
        <v>8</v>
      </c>
      <c r="G51" s="13">
        <f t="shared" si="0"/>
        <v>1200</v>
      </c>
      <c r="H51" s="16">
        <v>0</v>
      </c>
      <c r="I51" s="13">
        <f t="shared" si="1"/>
        <v>1200</v>
      </c>
      <c r="J51" s="16">
        <v>0</v>
      </c>
      <c r="K51" s="13">
        <f t="shared" si="2"/>
        <v>1200</v>
      </c>
      <c r="L51" s="14"/>
    </row>
    <row r="52" spans="1:12" x14ac:dyDescent="0.25">
      <c r="A52" s="13" t="s">
        <v>223</v>
      </c>
      <c r="B52" s="7" t="s">
        <v>93</v>
      </c>
      <c r="C52" s="6" t="s">
        <v>92</v>
      </c>
      <c r="D52" s="13">
        <v>212</v>
      </c>
      <c r="E52" s="13">
        <v>209</v>
      </c>
      <c r="F52" s="13">
        <f t="shared" si="4"/>
        <v>3</v>
      </c>
      <c r="G52" s="13">
        <f t="shared" si="0"/>
        <v>450</v>
      </c>
      <c r="H52" s="13">
        <v>0</v>
      </c>
      <c r="I52" s="13">
        <f t="shared" si="1"/>
        <v>450</v>
      </c>
      <c r="J52" s="13">
        <v>0</v>
      </c>
      <c r="K52" s="13">
        <f t="shared" si="2"/>
        <v>450</v>
      </c>
      <c r="L52" s="14"/>
    </row>
    <row r="53" spans="1:12" x14ac:dyDescent="0.25">
      <c r="A53" s="13" t="s">
        <v>224</v>
      </c>
      <c r="B53" s="7" t="s">
        <v>95</v>
      </c>
      <c r="C53" s="6" t="s">
        <v>94</v>
      </c>
      <c r="D53" s="13">
        <v>230</v>
      </c>
      <c r="E53" s="13">
        <v>214</v>
      </c>
      <c r="F53" s="13">
        <f t="shared" si="4"/>
        <v>16</v>
      </c>
      <c r="G53" s="13">
        <f t="shared" si="0"/>
        <v>2400</v>
      </c>
      <c r="H53" s="13">
        <v>0</v>
      </c>
      <c r="I53" s="13">
        <f t="shared" si="1"/>
        <v>2400</v>
      </c>
      <c r="J53" s="13">
        <v>0</v>
      </c>
      <c r="K53" s="13">
        <f t="shared" si="2"/>
        <v>2400</v>
      </c>
      <c r="L53" s="14"/>
    </row>
    <row r="54" spans="1:12" x14ac:dyDescent="0.25">
      <c r="A54" s="18" t="s">
        <v>225</v>
      </c>
      <c r="B54" s="7" t="s">
        <v>97</v>
      </c>
      <c r="C54" s="6" t="s">
        <v>96</v>
      </c>
      <c r="D54" s="18">
        <v>644</v>
      </c>
      <c r="E54" s="18">
        <v>634</v>
      </c>
      <c r="F54" s="18">
        <f t="shared" si="4"/>
        <v>10</v>
      </c>
      <c r="G54" s="13">
        <f t="shared" si="0"/>
        <v>1500</v>
      </c>
      <c r="H54" s="18">
        <v>0</v>
      </c>
      <c r="I54" s="13">
        <f t="shared" si="1"/>
        <v>1500</v>
      </c>
      <c r="J54" s="18">
        <v>0</v>
      </c>
      <c r="K54" s="13">
        <f t="shared" si="2"/>
        <v>1500</v>
      </c>
      <c r="L54" s="14"/>
    </row>
    <row r="55" spans="1:12" x14ac:dyDescent="0.25">
      <c r="A55" s="13" t="s">
        <v>226</v>
      </c>
      <c r="B55" s="7" t="s">
        <v>99</v>
      </c>
      <c r="C55" s="6" t="s">
        <v>98</v>
      </c>
      <c r="D55" s="13">
        <v>415</v>
      </c>
      <c r="E55" s="13">
        <v>402</v>
      </c>
      <c r="F55" s="13">
        <f t="shared" si="4"/>
        <v>13</v>
      </c>
      <c r="G55" s="13">
        <f t="shared" si="0"/>
        <v>1950</v>
      </c>
      <c r="H55" s="13">
        <v>0</v>
      </c>
      <c r="I55" s="13">
        <f t="shared" si="1"/>
        <v>1950</v>
      </c>
      <c r="J55" s="13">
        <v>0</v>
      </c>
      <c r="K55" s="13">
        <f t="shared" si="2"/>
        <v>1950</v>
      </c>
      <c r="L55" s="14"/>
    </row>
    <row r="56" spans="1:12" x14ac:dyDescent="0.25">
      <c r="A56" s="13" t="s">
        <v>227</v>
      </c>
      <c r="B56" s="7" t="s">
        <v>101</v>
      </c>
      <c r="C56" s="6" t="s">
        <v>100</v>
      </c>
      <c r="D56" s="13">
        <v>518</v>
      </c>
      <c r="E56" s="13">
        <v>492</v>
      </c>
      <c r="F56" s="13">
        <f t="shared" si="4"/>
        <v>26</v>
      </c>
      <c r="G56" s="13">
        <f t="shared" si="0"/>
        <v>3900</v>
      </c>
      <c r="H56" s="13">
        <v>0</v>
      </c>
      <c r="I56" s="13">
        <f t="shared" si="1"/>
        <v>3900</v>
      </c>
      <c r="J56" s="13">
        <v>0</v>
      </c>
      <c r="K56" s="13">
        <f t="shared" si="2"/>
        <v>3900</v>
      </c>
      <c r="L56" s="14"/>
    </row>
    <row r="57" spans="1:12" x14ac:dyDescent="0.25">
      <c r="A57" s="13" t="s">
        <v>228</v>
      </c>
      <c r="B57" s="7" t="s">
        <v>103</v>
      </c>
      <c r="C57" s="6" t="s">
        <v>102</v>
      </c>
      <c r="D57" s="13">
        <v>508</v>
      </c>
      <c r="E57" s="13">
        <v>504</v>
      </c>
      <c r="F57" s="13">
        <f t="shared" si="4"/>
        <v>4</v>
      </c>
      <c r="G57" s="13">
        <f t="shared" si="0"/>
        <v>600</v>
      </c>
      <c r="H57" s="13">
        <v>0</v>
      </c>
      <c r="I57" s="13">
        <f t="shared" si="1"/>
        <v>600</v>
      </c>
      <c r="J57" s="13">
        <v>0</v>
      </c>
      <c r="K57" s="13">
        <f t="shared" si="2"/>
        <v>600</v>
      </c>
      <c r="L57" s="14"/>
    </row>
    <row r="58" spans="1:12" x14ac:dyDescent="0.25">
      <c r="A58" s="13" t="s">
        <v>229</v>
      </c>
      <c r="B58" s="7" t="s">
        <v>105</v>
      </c>
      <c r="C58" s="6" t="s">
        <v>104</v>
      </c>
      <c r="D58" s="13">
        <v>223</v>
      </c>
      <c r="E58" s="13">
        <v>217</v>
      </c>
      <c r="F58" s="13">
        <f t="shared" si="4"/>
        <v>6</v>
      </c>
      <c r="G58" s="13">
        <f t="shared" si="0"/>
        <v>900</v>
      </c>
      <c r="H58" s="13">
        <v>0</v>
      </c>
      <c r="I58" s="13">
        <f t="shared" si="1"/>
        <v>900</v>
      </c>
      <c r="J58" s="13">
        <v>0</v>
      </c>
      <c r="K58" s="13">
        <f t="shared" si="2"/>
        <v>900</v>
      </c>
      <c r="L58" s="14"/>
    </row>
    <row r="59" spans="1:12" x14ac:dyDescent="0.25">
      <c r="A59" s="13" t="s">
        <v>230</v>
      </c>
      <c r="B59" s="7" t="s">
        <v>107</v>
      </c>
      <c r="C59" s="6" t="s">
        <v>106</v>
      </c>
      <c r="D59" s="13">
        <v>296</v>
      </c>
      <c r="E59" s="13">
        <v>293</v>
      </c>
      <c r="F59" s="13">
        <f t="shared" si="4"/>
        <v>3</v>
      </c>
      <c r="G59" s="13">
        <f t="shared" si="0"/>
        <v>450</v>
      </c>
      <c r="H59" s="13">
        <v>0</v>
      </c>
      <c r="I59" s="13">
        <f t="shared" si="1"/>
        <v>450</v>
      </c>
      <c r="J59" s="13">
        <v>0</v>
      </c>
      <c r="K59" s="13">
        <f t="shared" si="2"/>
        <v>450</v>
      </c>
      <c r="L59" s="14"/>
    </row>
    <row r="60" spans="1:12" x14ac:dyDescent="0.25">
      <c r="A60" s="13" t="s">
        <v>231</v>
      </c>
      <c r="B60" s="7" t="s">
        <v>109</v>
      </c>
      <c r="C60" s="6" t="s">
        <v>108</v>
      </c>
      <c r="D60" s="13">
        <v>120</v>
      </c>
      <c r="E60" s="13">
        <v>116</v>
      </c>
      <c r="F60" s="13">
        <f t="shared" si="4"/>
        <v>4</v>
      </c>
      <c r="G60" s="13">
        <f t="shared" si="0"/>
        <v>600</v>
      </c>
      <c r="H60" s="13">
        <v>0</v>
      </c>
      <c r="I60" s="13">
        <f t="shared" si="1"/>
        <v>600</v>
      </c>
      <c r="J60" s="13">
        <v>0</v>
      </c>
      <c r="K60" s="13">
        <f t="shared" si="2"/>
        <v>600</v>
      </c>
      <c r="L60" s="14"/>
    </row>
    <row r="61" spans="1:12" x14ac:dyDescent="0.25">
      <c r="A61" s="13" t="s">
        <v>232</v>
      </c>
      <c r="B61" s="7" t="s">
        <v>111</v>
      </c>
      <c r="C61" s="6" t="s">
        <v>110</v>
      </c>
      <c r="D61" s="13">
        <v>251</v>
      </c>
      <c r="E61" s="13">
        <v>249</v>
      </c>
      <c r="F61" s="13">
        <f t="shared" si="4"/>
        <v>2</v>
      </c>
      <c r="G61" s="13">
        <f t="shared" si="0"/>
        <v>300</v>
      </c>
      <c r="H61" s="13">
        <v>0</v>
      </c>
      <c r="I61" s="13">
        <f t="shared" si="1"/>
        <v>300</v>
      </c>
      <c r="J61" s="13">
        <v>0</v>
      </c>
      <c r="K61" s="13">
        <f t="shared" si="2"/>
        <v>300</v>
      </c>
      <c r="L61" s="14"/>
    </row>
    <row r="62" spans="1:12" x14ac:dyDescent="0.25">
      <c r="A62" s="13" t="s">
        <v>233</v>
      </c>
      <c r="B62" s="7" t="s">
        <v>113</v>
      </c>
      <c r="C62" s="6" t="s">
        <v>112</v>
      </c>
      <c r="D62" s="13">
        <v>193</v>
      </c>
      <c r="E62" s="13">
        <v>190</v>
      </c>
      <c r="F62" s="13">
        <f t="shared" si="4"/>
        <v>3</v>
      </c>
      <c r="G62" s="13">
        <f t="shared" si="0"/>
        <v>450</v>
      </c>
      <c r="H62" s="13">
        <v>0</v>
      </c>
      <c r="I62" s="13">
        <f t="shared" si="1"/>
        <v>450</v>
      </c>
      <c r="J62" s="13">
        <v>0</v>
      </c>
      <c r="K62" s="13">
        <f t="shared" si="2"/>
        <v>450</v>
      </c>
      <c r="L62" s="14"/>
    </row>
    <row r="63" spans="1:12" x14ac:dyDescent="0.25">
      <c r="A63" s="11" t="s">
        <v>234</v>
      </c>
      <c r="B63" s="7" t="s">
        <v>115</v>
      </c>
      <c r="C63" s="6" t="s">
        <v>114</v>
      </c>
      <c r="D63" s="11">
        <v>190</v>
      </c>
      <c r="E63" s="11">
        <v>190</v>
      </c>
      <c r="F63" s="11">
        <f t="shared" si="4"/>
        <v>0</v>
      </c>
      <c r="G63" s="11">
        <f t="shared" si="0"/>
        <v>0</v>
      </c>
      <c r="H63" s="11">
        <v>0</v>
      </c>
      <c r="I63" s="11">
        <f t="shared" si="1"/>
        <v>0</v>
      </c>
      <c r="J63" s="11">
        <v>0</v>
      </c>
      <c r="K63" s="11">
        <f t="shared" si="2"/>
        <v>0</v>
      </c>
    </row>
    <row r="64" spans="1:12" x14ac:dyDescent="0.25">
      <c r="A64" s="13" t="s">
        <v>235</v>
      </c>
      <c r="B64" s="7" t="s">
        <v>117</v>
      </c>
      <c r="C64" s="6" t="s">
        <v>116</v>
      </c>
      <c r="D64" s="13">
        <v>128</v>
      </c>
      <c r="E64" s="13">
        <v>124</v>
      </c>
      <c r="F64" s="13">
        <f t="shared" si="4"/>
        <v>4</v>
      </c>
      <c r="G64" s="13">
        <f t="shared" si="0"/>
        <v>600</v>
      </c>
      <c r="H64" s="13">
        <v>0</v>
      </c>
      <c r="I64" s="13">
        <f t="shared" si="1"/>
        <v>600</v>
      </c>
      <c r="J64" s="13">
        <v>0</v>
      </c>
      <c r="K64" s="13">
        <f t="shared" si="2"/>
        <v>600</v>
      </c>
      <c r="L64" s="14"/>
    </row>
    <row r="65" spans="1:12" x14ac:dyDescent="0.25">
      <c r="A65" s="13" t="s">
        <v>236</v>
      </c>
      <c r="B65" s="7" t="s">
        <v>119</v>
      </c>
      <c r="C65" s="6" t="s">
        <v>118</v>
      </c>
      <c r="D65" s="13">
        <v>209</v>
      </c>
      <c r="E65" s="13">
        <v>206</v>
      </c>
      <c r="F65" s="13">
        <f t="shared" si="4"/>
        <v>3</v>
      </c>
      <c r="G65" s="13">
        <f t="shared" si="0"/>
        <v>450</v>
      </c>
      <c r="H65" s="13">
        <v>0</v>
      </c>
      <c r="I65" s="13">
        <f t="shared" si="1"/>
        <v>450</v>
      </c>
      <c r="J65" s="13">
        <v>0</v>
      </c>
      <c r="K65" s="13">
        <f t="shared" si="2"/>
        <v>450</v>
      </c>
      <c r="L65" s="14"/>
    </row>
    <row r="66" spans="1:12" x14ac:dyDescent="0.25">
      <c r="A66" s="13" t="s">
        <v>237</v>
      </c>
      <c r="B66" s="7" t="s">
        <v>121</v>
      </c>
      <c r="C66" s="6" t="s">
        <v>120</v>
      </c>
      <c r="D66" s="13">
        <v>266</v>
      </c>
      <c r="E66" s="13">
        <v>247</v>
      </c>
      <c r="F66" s="13">
        <f t="shared" si="4"/>
        <v>19</v>
      </c>
      <c r="G66" s="13">
        <f t="shared" si="0"/>
        <v>2850</v>
      </c>
      <c r="H66" s="13">
        <v>0</v>
      </c>
      <c r="I66" s="13">
        <f t="shared" si="1"/>
        <v>2850</v>
      </c>
      <c r="J66" s="13">
        <v>0</v>
      </c>
      <c r="K66" s="13">
        <f t="shared" si="2"/>
        <v>2850</v>
      </c>
      <c r="L66" s="14"/>
    </row>
    <row r="67" spans="1:12" x14ac:dyDescent="0.25">
      <c r="A67" s="18" t="s">
        <v>238</v>
      </c>
      <c r="B67" s="7" t="s">
        <v>123</v>
      </c>
      <c r="C67" s="6" t="s">
        <v>122</v>
      </c>
      <c r="D67" s="13">
        <v>403</v>
      </c>
      <c r="E67" s="13">
        <v>400</v>
      </c>
      <c r="F67" s="13">
        <f t="shared" si="4"/>
        <v>3</v>
      </c>
      <c r="G67" s="13">
        <f t="shared" si="0"/>
        <v>450</v>
      </c>
      <c r="H67" s="13">
        <v>0</v>
      </c>
      <c r="I67" s="13">
        <f t="shared" si="1"/>
        <v>450</v>
      </c>
      <c r="J67" s="13">
        <v>0</v>
      </c>
      <c r="K67" s="13">
        <f t="shared" si="2"/>
        <v>450</v>
      </c>
      <c r="L67" s="14"/>
    </row>
    <row r="68" spans="1:12" x14ac:dyDescent="0.25">
      <c r="A68" s="18" t="s">
        <v>239</v>
      </c>
      <c r="B68" s="7" t="s">
        <v>125</v>
      </c>
      <c r="C68" s="6" t="s">
        <v>124</v>
      </c>
      <c r="D68" s="13">
        <v>86</v>
      </c>
      <c r="E68" s="13">
        <v>84</v>
      </c>
      <c r="F68" s="13">
        <f t="shared" si="4"/>
        <v>2</v>
      </c>
      <c r="G68" s="13">
        <f t="shared" ref="G68:G90" si="5">F68*150</f>
        <v>300</v>
      </c>
      <c r="H68" s="13">
        <v>0</v>
      </c>
      <c r="I68" s="13">
        <f t="shared" ref="I68:I89" si="6">G68</f>
        <v>300</v>
      </c>
      <c r="J68" s="13">
        <v>0</v>
      </c>
      <c r="K68" s="13">
        <f t="shared" ref="K68:K89" si="7">I68+J68</f>
        <v>300</v>
      </c>
      <c r="L68" s="14"/>
    </row>
    <row r="69" spans="1:12" x14ac:dyDescent="0.25">
      <c r="A69" s="18" t="s">
        <v>240</v>
      </c>
      <c r="B69" s="7" t="s">
        <v>127</v>
      </c>
      <c r="C69" s="22" t="s">
        <v>126</v>
      </c>
      <c r="D69" s="13">
        <v>181</v>
      </c>
      <c r="E69" s="13">
        <v>174</v>
      </c>
      <c r="F69" s="13">
        <f t="shared" si="4"/>
        <v>7</v>
      </c>
      <c r="G69" s="13">
        <f t="shared" si="5"/>
        <v>1050</v>
      </c>
      <c r="H69" s="13">
        <v>0</v>
      </c>
      <c r="I69" s="13">
        <f t="shared" si="6"/>
        <v>1050</v>
      </c>
      <c r="J69" s="13">
        <v>0</v>
      </c>
      <c r="K69" s="13">
        <f t="shared" si="7"/>
        <v>1050</v>
      </c>
      <c r="L69" s="14"/>
    </row>
    <row r="70" spans="1:12" x14ac:dyDescent="0.25">
      <c r="A70" s="18" t="s">
        <v>241</v>
      </c>
      <c r="B70" s="7" t="s">
        <v>129</v>
      </c>
      <c r="C70" s="22" t="s">
        <v>128</v>
      </c>
      <c r="D70" s="13">
        <v>1130</v>
      </c>
      <c r="E70" s="13">
        <v>1117</v>
      </c>
      <c r="F70" s="13">
        <f t="shared" si="4"/>
        <v>13</v>
      </c>
      <c r="G70" s="13">
        <f t="shared" si="5"/>
        <v>1950</v>
      </c>
      <c r="H70" s="13">
        <v>0</v>
      </c>
      <c r="I70" s="13">
        <f t="shared" si="6"/>
        <v>1950</v>
      </c>
      <c r="J70" s="13">
        <v>0</v>
      </c>
      <c r="K70" s="13">
        <f t="shared" si="7"/>
        <v>1950</v>
      </c>
      <c r="L70" s="14"/>
    </row>
    <row r="71" spans="1:12" x14ac:dyDescent="0.25">
      <c r="A71" s="18" t="s">
        <v>242</v>
      </c>
      <c r="B71" s="7" t="s">
        <v>168</v>
      </c>
      <c r="C71" s="22"/>
      <c r="D71" s="13">
        <v>447</v>
      </c>
      <c r="E71" s="13">
        <v>445</v>
      </c>
      <c r="F71" s="13">
        <f t="shared" si="4"/>
        <v>2</v>
      </c>
      <c r="G71" s="13">
        <f t="shared" si="5"/>
        <v>300</v>
      </c>
      <c r="H71" s="13">
        <v>0</v>
      </c>
      <c r="I71" s="13">
        <f t="shared" si="6"/>
        <v>300</v>
      </c>
      <c r="J71" s="13">
        <v>0</v>
      </c>
      <c r="K71" s="13">
        <f t="shared" si="7"/>
        <v>300</v>
      </c>
      <c r="L71" s="14"/>
    </row>
    <row r="72" spans="1:12" x14ac:dyDescent="0.25">
      <c r="A72" s="11" t="s">
        <v>243</v>
      </c>
      <c r="B72" s="7" t="s">
        <v>131</v>
      </c>
      <c r="C72" s="22" t="s">
        <v>130</v>
      </c>
      <c r="D72" s="11">
        <v>529</v>
      </c>
      <c r="E72" s="11">
        <v>516</v>
      </c>
      <c r="F72" s="11">
        <f t="shared" si="4"/>
        <v>13</v>
      </c>
      <c r="G72" s="11">
        <f t="shared" si="5"/>
        <v>1950</v>
      </c>
      <c r="H72" s="11">
        <v>0</v>
      </c>
      <c r="I72" s="11">
        <f t="shared" si="6"/>
        <v>1950</v>
      </c>
      <c r="J72" s="11">
        <v>0</v>
      </c>
      <c r="K72" s="11">
        <f t="shared" si="7"/>
        <v>1950</v>
      </c>
    </row>
    <row r="73" spans="1:12" x14ac:dyDescent="0.25">
      <c r="A73" s="18" t="s">
        <v>244</v>
      </c>
      <c r="B73" s="7" t="s">
        <v>133</v>
      </c>
      <c r="C73" s="22" t="s">
        <v>132</v>
      </c>
      <c r="D73" s="13">
        <v>247</v>
      </c>
      <c r="E73" s="13">
        <v>240</v>
      </c>
      <c r="F73" s="13">
        <f t="shared" si="4"/>
        <v>7</v>
      </c>
      <c r="G73" s="13">
        <f t="shared" si="5"/>
        <v>1050</v>
      </c>
      <c r="H73" s="13">
        <v>0</v>
      </c>
      <c r="I73" s="13">
        <f t="shared" si="6"/>
        <v>1050</v>
      </c>
      <c r="J73" s="13">
        <v>0</v>
      </c>
      <c r="K73" s="13">
        <f t="shared" si="7"/>
        <v>1050</v>
      </c>
      <c r="L73" s="14"/>
    </row>
    <row r="74" spans="1:12" x14ac:dyDescent="0.25">
      <c r="A74" s="18" t="s">
        <v>245</v>
      </c>
      <c r="B74" s="7" t="s">
        <v>135</v>
      </c>
      <c r="C74" s="22" t="s">
        <v>134</v>
      </c>
      <c r="D74" s="13">
        <v>264</v>
      </c>
      <c r="E74" s="13">
        <v>261</v>
      </c>
      <c r="F74" s="13">
        <f t="shared" si="4"/>
        <v>3</v>
      </c>
      <c r="G74" s="13">
        <f t="shared" si="5"/>
        <v>450</v>
      </c>
      <c r="H74" s="13">
        <v>0</v>
      </c>
      <c r="I74" s="13">
        <f t="shared" si="6"/>
        <v>450</v>
      </c>
      <c r="J74" s="13">
        <v>0</v>
      </c>
      <c r="K74" s="13">
        <f t="shared" si="7"/>
        <v>450</v>
      </c>
      <c r="L74" s="14"/>
    </row>
    <row r="75" spans="1:12" x14ac:dyDescent="0.25">
      <c r="A75" s="18" t="s">
        <v>246</v>
      </c>
      <c r="B75" s="7" t="s">
        <v>137</v>
      </c>
      <c r="C75" s="22" t="s">
        <v>136</v>
      </c>
      <c r="D75" s="13">
        <v>281</v>
      </c>
      <c r="E75" s="13">
        <v>278</v>
      </c>
      <c r="F75" s="13">
        <f t="shared" si="4"/>
        <v>3</v>
      </c>
      <c r="G75" s="13">
        <f t="shared" si="5"/>
        <v>450</v>
      </c>
      <c r="H75" s="13">
        <v>0</v>
      </c>
      <c r="I75" s="13">
        <f t="shared" si="6"/>
        <v>450</v>
      </c>
      <c r="J75" s="13">
        <v>0</v>
      </c>
      <c r="K75" s="13">
        <f t="shared" si="7"/>
        <v>450</v>
      </c>
      <c r="L75" s="14"/>
    </row>
    <row r="76" spans="1:12" x14ac:dyDescent="0.25">
      <c r="A76" s="18" t="s">
        <v>247</v>
      </c>
      <c r="B76" s="7" t="s">
        <v>139</v>
      </c>
      <c r="C76" s="22" t="s">
        <v>138</v>
      </c>
      <c r="D76" s="13">
        <v>195</v>
      </c>
      <c r="E76" s="13">
        <v>192</v>
      </c>
      <c r="F76" s="13">
        <f t="shared" si="4"/>
        <v>3</v>
      </c>
      <c r="G76" s="13">
        <f t="shared" si="5"/>
        <v>450</v>
      </c>
      <c r="H76" s="13">
        <v>0</v>
      </c>
      <c r="I76" s="13">
        <f t="shared" si="6"/>
        <v>450</v>
      </c>
      <c r="J76" s="13">
        <v>0</v>
      </c>
      <c r="K76" s="13">
        <f t="shared" si="7"/>
        <v>450</v>
      </c>
      <c r="L76" s="14"/>
    </row>
    <row r="77" spans="1:12" x14ac:dyDescent="0.25">
      <c r="A77" s="18" t="s">
        <v>248</v>
      </c>
      <c r="B77" s="7" t="s">
        <v>141</v>
      </c>
      <c r="C77" s="22" t="s">
        <v>140</v>
      </c>
      <c r="D77" s="13">
        <v>205</v>
      </c>
      <c r="E77" s="13">
        <v>204</v>
      </c>
      <c r="F77" s="13">
        <f t="shared" si="4"/>
        <v>1</v>
      </c>
      <c r="G77" s="13">
        <f t="shared" si="5"/>
        <v>150</v>
      </c>
      <c r="H77" s="13">
        <v>0</v>
      </c>
      <c r="I77" s="13">
        <f t="shared" si="6"/>
        <v>150</v>
      </c>
      <c r="J77" s="13">
        <v>0</v>
      </c>
      <c r="K77" s="13">
        <f t="shared" si="7"/>
        <v>150</v>
      </c>
      <c r="L77" s="14"/>
    </row>
    <row r="78" spans="1:12" x14ac:dyDescent="0.25">
      <c r="A78" s="18" t="s">
        <v>249</v>
      </c>
      <c r="B78" s="7" t="s">
        <v>169</v>
      </c>
      <c r="C78" s="22" t="s">
        <v>142</v>
      </c>
      <c r="D78" s="13">
        <v>424</v>
      </c>
      <c r="E78" s="13">
        <v>423</v>
      </c>
      <c r="F78" s="13">
        <f t="shared" si="4"/>
        <v>1</v>
      </c>
      <c r="G78" s="13">
        <f t="shared" si="5"/>
        <v>150</v>
      </c>
      <c r="H78" s="13">
        <v>0</v>
      </c>
      <c r="I78" s="13">
        <f t="shared" si="6"/>
        <v>150</v>
      </c>
      <c r="J78" s="13">
        <v>0</v>
      </c>
      <c r="K78" s="13">
        <f t="shared" si="7"/>
        <v>150</v>
      </c>
      <c r="L78" s="14"/>
    </row>
    <row r="79" spans="1:12" x14ac:dyDescent="0.25">
      <c r="A79" s="18" t="s">
        <v>250</v>
      </c>
      <c r="B79" s="7" t="s">
        <v>172</v>
      </c>
      <c r="C79" s="22" t="s">
        <v>143</v>
      </c>
      <c r="D79" s="13">
        <v>175</v>
      </c>
      <c r="E79" s="13">
        <v>172</v>
      </c>
      <c r="F79" s="13">
        <f t="shared" si="4"/>
        <v>3</v>
      </c>
      <c r="G79" s="13">
        <f t="shared" si="5"/>
        <v>450</v>
      </c>
      <c r="H79" s="13">
        <v>0</v>
      </c>
      <c r="I79" s="13">
        <f t="shared" si="6"/>
        <v>450</v>
      </c>
      <c r="J79" s="13">
        <v>0</v>
      </c>
      <c r="K79" s="13">
        <f t="shared" si="7"/>
        <v>450</v>
      </c>
      <c r="L79" s="14"/>
    </row>
    <row r="80" spans="1:12" x14ac:dyDescent="0.25">
      <c r="A80" s="18" t="s">
        <v>251</v>
      </c>
      <c r="B80" s="7" t="s">
        <v>145</v>
      </c>
      <c r="C80" s="22" t="s">
        <v>144</v>
      </c>
      <c r="D80" s="13">
        <v>369</v>
      </c>
      <c r="E80" s="13">
        <v>354</v>
      </c>
      <c r="F80" s="13">
        <f t="shared" si="4"/>
        <v>15</v>
      </c>
      <c r="G80" s="13">
        <f t="shared" si="5"/>
        <v>2250</v>
      </c>
      <c r="H80" s="13">
        <v>0</v>
      </c>
      <c r="I80" s="13">
        <f t="shared" si="6"/>
        <v>2250</v>
      </c>
      <c r="J80" s="13">
        <v>0</v>
      </c>
      <c r="K80" s="13">
        <f>I80+J80</f>
        <v>2250</v>
      </c>
      <c r="L80" s="14"/>
    </row>
    <row r="81" spans="1:12" x14ac:dyDescent="0.25">
      <c r="A81" s="18" t="s">
        <v>252</v>
      </c>
      <c r="B81" s="7" t="s">
        <v>147</v>
      </c>
      <c r="C81" s="22" t="s">
        <v>146</v>
      </c>
      <c r="D81" s="13">
        <v>296</v>
      </c>
      <c r="E81" s="13">
        <v>272</v>
      </c>
      <c r="F81" s="13">
        <f t="shared" si="4"/>
        <v>24</v>
      </c>
      <c r="G81" s="13">
        <f t="shared" si="5"/>
        <v>3600</v>
      </c>
      <c r="H81" s="13">
        <v>0</v>
      </c>
      <c r="I81" s="13">
        <f t="shared" si="6"/>
        <v>3600</v>
      </c>
      <c r="J81" s="13">
        <v>0</v>
      </c>
      <c r="K81" s="13">
        <f t="shared" si="7"/>
        <v>3600</v>
      </c>
      <c r="L81" s="14"/>
    </row>
    <row r="82" spans="1:12" x14ac:dyDescent="0.25">
      <c r="A82" s="18" t="s">
        <v>253</v>
      </c>
      <c r="B82" s="7" t="s">
        <v>149</v>
      </c>
      <c r="C82" s="22" t="s">
        <v>148</v>
      </c>
      <c r="D82" s="13">
        <v>165</v>
      </c>
      <c r="E82" s="13">
        <v>159</v>
      </c>
      <c r="F82" s="13">
        <f t="shared" si="4"/>
        <v>6</v>
      </c>
      <c r="G82" s="13">
        <f t="shared" si="5"/>
        <v>900</v>
      </c>
      <c r="H82" s="13">
        <v>0</v>
      </c>
      <c r="I82" s="13">
        <f t="shared" si="6"/>
        <v>900</v>
      </c>
      <c r="J82" s="13">
        <v>0</v>
      </c>
      <c r="K82" s="13">
        <f t="shared" si="7"/>
        <v>900</v>
      </c>
      <c r="L82" s="14"/>
    </row>
    <row r="83" spans="1:12" x14ac:dyDescent="0.25">
      <c r="A83" s="26" t="s">
        <v>254</v>
      </c>
      <c r="B83" s="7" t="s">
        <v>151</v>
      </c>
      <c r="C83" s="22" t="s">
        <v>150</v>
      </c>
      <c r="D83" s="20">
        <v>117</v>
      </c>
      <c r="E83" s="20">
        <v>114</v>
      </c>
      <c r="F83" s="11">
        <f t="shared" si="4"/>
        <v>3</v>
      </c>
      <c r="G83" s="11">
        <f t="shared" si="5"/>
        <v>450</v>
      </c>
      <c r="H83" s="11">
        <v>0</v>
      </c>
      <c r="I83" s="11">
        <f t="shared" si="6"/>
        <v>450</v>
      </c>
      <c r="J83" s="11">
        <v>0</v>
      </c>
      <c r="K83" s="11">
        <f t="shared" si="7"/>
        <v>450</v>
      </c>
      <c r="L83" s="14"/>
    </row>
    <row r="84" spans="1:12" x14ac:dyDescent="0.25">
      <c r="A84" s="18" t="s">
        <v>255</v>
      </c>
      <c r="B84" s="7" t="s">
        <v>170</v>
      </c>
      <c r="C84" s="22" t="s">
        <v>171</v>
      </c>
      <c r="D84" s="13">
        <v>363</v>
      </c>
      <c r="E84" s="13">
        <v>361</v>
      </c>
      <c r="F84" s="13">
        <f t="shared" si="4"/>
        <v>2</v>
      </c>
      <c r="G84" s="13">
        <f t="shared" si="5"/>
        <v>300</v>
      </c>
      <c r="H84" s="13">
        <v>0</v>
      </c>
      <c r="I84" s="13">
        <f t="shared" si="6"/>
        <v>300</v>
      </c>
      <c r="J84" s="13">
        <v>0</v>
      </c>
      <c r="K84" s="13">
        <f t="shared" si="7"/>
        <v>300</v>
      </c>
      <c r="L84" s="14"/>
    </row>
    <row r="85" spans="1:12" x14ac:dyDescent="0.25">
      <c r="A85" s="18" t="s">
        <v>256</v>
      </c>
      <c r="B85" s="7" t="s">
        <v>153</v>
      </c>
      <c r="C85" s="22" t="s">
        <v>152</v>
      </c>
      <c r="D85" s="13">
        <v>333</v>
      </c>
      <c r="E85" s="13">
        <v>328</v>
      </c>
      <c r="F85" s="13">
        <f t="shared" si="4"/>
        <v>5</v>
      </c>
      <c r="G85" s="13">
        <f t="shared" si="5"/>
        <v>750</v>
      </c>
      <c r="H85" s="13">
        <v>0</v>
      </c>
      <c r="I85" s="13">
        <f t="shared" si="6"/>
        <v>750</v>
      </c>
      <c r="J85" s="13">
        <v>0</v>
      </c>
      <c r="K85" s="13">
        <f t="shared" si="7"/>
        <v>750</v>
      </c>
      <c r="L85" s="14"/>
    </row>
    <row r="86" spans="1:12" x14ac:dyDescent="0.25">
      <c r="A86" s="18" t="s">
        <v>257</v>
      </c>
      <c r="B86" s="7"/>
      <c r="C86" s="22"/>
      <c r="D86" s="13">
        <v>147</v>
      </c>
      <c r="E86" s="13">
        <v>142</v>
      </c>
      <c r="F86" s="13">
        <f t="shared" si="4"/>
        <v>5</v>
      </c>
      <c r="G86" s="13">
        <f t="shared" si="5"/>
        <v>750</v>
      </c>
      <c r="H86" s="13"/>
      <c r="I86" s="13">
        <f t="shared" si="6"/>
        <v>750</v>
      </c>
      <c r="J86" s="13">
        <v>0</v>
      </c>
      <c r="K86" s="13">
        <f t="shared" si="7"/>
        <v>750</v>
      </c>
      <c r="L86" s="14"/>
    </row>
    <row r="87" spans="1:12" x14ac:dyDescent="0.25">
      <c r="A87" s="18" t="s">
        <v>258</v>
      </c>
      <c r="B87" s="7" t="s">
        <v>155</v>
      </c>
      <c r="C87" s="22" t="s">
        <v>154</v>
      </c>
      <c r="D87" s="13">
        <v>433</v>
      </c>
      <c r="E87" s="13">
        <v>428</v>
      </c>
      <c r="F87" s="13">
        <f t="shared" si="4"/>
        <v>5</v>
      </c>
      <c r="G87" s="13">
        <f t="shared" si="5"/>
        <v>750</v>
      </c>
      <c r="H87" s="13">
        <v>0</v>
      </c>
      <c r="I87" s="13">
        <f t="shared" si="6"/>
        <v>750</v>
      </c>
      <c r="J87" s="13">
        <v>0</v>
      </c>
      <c r="K87" s="13">
        <f t="shared" si="7"/>
        <v>750</v>
      </c>
      <c r="L87" s="14"/>
    </row>
    <row r="88" spans="1:12" x14ac:dyDescent="0.25">
      <c r="A88" s="18" t="s">
        <v>259</v>
      </c>
      <c r="B88" s="7" t="s">
        <v>157</v>
      </c>
      <c r="C88" s="22" t="s">
        <v>156</v>
      </c>
      <c r="D88" s="13">
        <v>240</v>
      </c>
      <c r="E88" s="13">
        <v>237</v>
      </c>
      <c r="F88" s="13">
        <f t="shared" si="4"/>
        <v>3</v>
      </c>
      <c r="G88" s="13">
        <f t="shared" si="5"/>
        <v>450</v>
      </c>
      <c r="H88" s="13">
        <v>0</v>
      </c>
      <c r="I88" s="13">
        <f t="shared" si="6"/>
        <v>450</v>
      </c>
      <c r="J88" s="13">
        <v>0</v>
      </c>
      <c r="K88" s="13">
        <f t="shared" si="7"/>
        <v>450</v>
      </c>
      <c r="L88" s="14"/>
    </row>
    <row r="89" spans="1:12" x14ac:dyDescent="0.25">
      <c r="A89" s="18" t="s">
        <v>260</v>
      </c>
      <c r="B89" s="7" t="s">
        <v>159</v>
      </c>
      <c r="C89" s="22" t="s">
        <v>158</v>
      </c>
      <c r="D89" s="13">
        <v>149</v>
      </c>
      <c r="E89" s="13">
        <v>147</v>
      </c>
      <c r="F89" s="13">
        <f t="shared" si="4"/>
        <v>2</v>
      </c>
      <c r="G89" s="13">
        <f t="shared" si="5"/>
        <v>300</v>
      </c>
      <c r="H89" s="13">
        <v>0</v>
      </c>
      <c r="I89" s="13">
        <f t="shared" si="6"/>
        <v>300</v>
      </c>
      <c r="J89" s="13">
        <v>0</v>
      </c>
      <c r="K89" s="13">
        <f t="shared" si="7"/>
        <v>300</v>
      </c>
      <c r="L89" s="14"/>
    </row>
    <row r="90" spans="1:12" x14ac:dyDescent="0.25">
      <c r="A90" s="27" t="s">
        <v>261</v>
      </c>
      <c r="B90" s="23" t="s">
        <v>161</v>
      </c>
      <c r="C90" s="22" t="s">
        <v>160</v>
      </c>
      <c r="D90" s="13">
        <v>171</v>
      </c>
      <c r="E90" s="13">
        <v>168</v>
      </c>
      <c r="F90" s="13">
        <f t="shared" si="4"/>
        <v>3</v>
      </c>
      <c r="G90" s="13">
        <f t="shared" si="5"/>
        <v>450</v>
      </c>
      <c r="H90" s="13">
        <v>0</v>
      </c>
      <c r="I90" s="13">
        <f>G90</f>
        <v>450</v>
      </c>
      <c r="J90" s="13">
        <v>0</v>
      </c>
      <c r="K90" s="13">
        <f>I90+J90</f>
        <v>450</v>
      </c>
      <c r="L90" s="14"/>
    </row>
    <row r="91" spans="1:12" x14ac:dyDescent="0.25">
      <c r="A91" s="27" t="s">
        <v>262</v>
      </c>
      <c r="B91" s="19"/>
      <c r="C91" s="21"/>
      <c r="D91" s="13">
        <v>362</v>
      </c>
      <c r="E91" s="13">
        <v>359</v>
      </c>
      <c r="F91" s="13">
        <f>D91-E91</f>
        <v>3</v>
      </c>
      <c r="G91" s="13">
        <f>F91*150</f>
        <v>450</v>
      </c>
      <c r="H91" s="13"/>
      <c r="I91" s="13">
        <f>G91</f>
        <v>450</v>
      </c>
      <c r="J91" s="13">
        <v>0</v>
      </c>
      <c r="K91" s="13">
        <f>I91+J91</f>
        <v>450</v>
      </c>
      <c r="L91" s="14"/>
    </row>
  </sheetData>
  <pageMargins left="0.7" right="0.7" top="0.75" bottom="0.75" header="0.3" footer="0.3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2026-10-03T09:45:44Z</cp:lastPrinted>
  <dcterms:created xsi:type="dcterms:W3CDTF">2026-10-03T08:26:13Z</dcterms:created>
  <dcterms:modified xsi:type="dcterms:W3CDTF">2026-10-04T15:55:04Z</dcterms:modified>
</cp:coreProperties>
</file>
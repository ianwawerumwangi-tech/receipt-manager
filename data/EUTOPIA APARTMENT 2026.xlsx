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LOBBY LINKED\LOBBY 2026\LANDLORD ACCOUNT(2026)\ARMSTRONG\"/>
    </mc:Choice>
  </mc:AlternateContent>
  <xr:revisionPtr revIDLastSave="54" documentId="8_{E6DB0EA1-8F2A-47DC-8AF6-C167C5858F5E}" xr6:coauthVersionLast="47" xr6:coauthVersionMax="47" xr10:uidLastSave="{12D265B2-1BA5-B847-8459-75F7CEBFB079}"/>
  <bookViews>
    <workbookView xWindow="-105" yWindow="-105" windowWidth="23250" windowHeight="13890" activeTab="2" xr2:uid="{7615FC5B-EC84-4AA1-AA33-06FAC3FCBF2B}"/>
  </bookViews>
  <sheets>
    <sheet name="AUGUST" sheetId="1" r:id="rId1"/>
    <sheet name="SEPTEMBER" sheetId="2" r:id="rId2"/>
    <sheet name="OCTOB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1" i="3" l="1"/>
  <c r="N19" i="3"/>
  <c r="J22" i="2"/>
  <c r="K23" i="1"/>
  <c r="E11" i="1"/>
  <c r="J11" i="1"/>
  <c r="J12" i="1"/>
  <c r="E13" i="1"/>
  <c r="J13" i="1"/>
  <c r="E14" i="1"/>
  <c r="J14" i="1"/>
  <c r="E15" i="1"/>
  <c r="J15" i="1"/>
  <c r="E16" i="1"/>
  <c r="J16" i="1"/>
  <c r="E17" i="1"/>
  <c r="J17" i="1"/>
  <c r="E18" i="1"/>
  <c r="J18" i="1"/>
  <c r="E19" i="1"/>
  <c r="J19" i="1"/>
  <c r="E20" i="1"/>
  <c r="J20" i="1"/>
  <c r="J21" i="1"/>
  <c r="E22" i="1"/>
  <c r="J22" i="1"/>
  <c r="E23" i="1"/>
  <c r="J23" i="1"/>
  <c r="E24" i="1"/>
  <c r="J24" i="1"/>
  <c r="J25" i="1"/>
  <c r="J17" i="2"/>
  <c r="J26" i="2"/>
  <c r="G34" i="3"/>
  <c r="F34" i="3"/>
  <c r="E34" i="3"/>
  <c r="J34" i="3"/>
  <c r="I16" i="2"/>
  <c r="N16" i="2"/>
  <c r="H16" i="3"/>
  <c r="I16" i="3"/>
  <c r="N16" i="3"/>
  <c r="I18" i="2"/>
  <c r="N18" i="2"/>
  <c r="I26" i="2"/>
  <c r="N26" i="2"/>
  <c r="H26" i="3"/>
  <c r="I26" i="3"/>
  <c r="I27" i="2"/>
  <c r="N27" i="2"/>
  <c r="H27" i="3"/>
  <c r="I27" i="3"/>
  <c r="I28" i="2"/>
  <c r="N28" i="2"/>
  <c r="H28" i="3"/>
  <c r="I28" i="3"/>
  <c r="I30" i="2"/>
  <c r="N30" i="2"/>
  <c r="H30" i="3"/>
  <c r="I30" i="3"/>
  <c r="I31" i="2"/>
  <c r="N31" i="2"/>
  <c r="H31" i="3"/>
  <c r="I31" i="3"/>
  <c r="I32" i="2"/>
  <c r="N32" i="2"/>
  <c r="H32" i="3"/>
  <c r="I32" i="3"/>
  <c r="I33" i="2"/>
  <c r="N33" i="2"/>
  <c r="H33" i="3"/>
  <c r="I33" i="3"/>
  <c r="J36" i="3"/>
  <c r="J37" i="3"/>
  <c r="J39" i="3"/>
  <c r="N39" i="3"/>
  <c r="D34" i="3"/>
  <c r="D29" i="2"/>
  <c r="I29" i="2"/>
  <c r="N29" i="2"/>
  <c r="H29" i="3"/>
  <c r="I29" i="3"/>
  <c r="N29" i="3"/>
  <c r="J10" i="2"/>
  <c r="J12" i="2"/>
  <c r="K12" i="1"/>
  <c r="J14" i="2"/>
  <c r="O25" i="1"/>
  <c r="K24" i="1"/>
  <c r="K22" i="1"/>
  <c r="O21" i="1"/>
  <c r="H21" i="2"/>
  <c r="I21" i="2"/>
  <c r="N21" i="2"/>
  <c r="K20" i="1"/>
  <c r="K19" i="1"/>
  <c r="O18" i="1"/>
  <c r="O17" i="1"/>
  <c r="H17" i="2"/>
  <c r="I17" i="2"/>
  <c r="N17" i="2"/>
  <c r="H17" i="3"/>
  <c r="I17" i="3"/>
  <c r="N17" i="3"/>
  <c r="K16" i="1"/>
  <c r="K15" i="1"/>
  <c r="K14" i="1"/>
  <c r="K13" i="1"/>
  <c r="K11" i="1"/>
  <c r="J13" i="2"/>
  <c r="J34" i="2"/>
  <c r="J36" i="2"/>
  <c r="O12" i="1"/>
  <c r="H12" i="2"/>
  <c r="I12" i="2"/>
  <c r="N12" i="2"/>
  <c r="H12" i="3"/>
  <c r="I12" i="3"/>
  <c r="O26" i="1"/>
  <c r="O27" i="1"/>
  <c r="O28" i="1"/>
  <c r="O29" i="1"/>
  <c r="O30" i="1"/>
  <c r="O31" i="1"/>
  <c r="O32" i="1"/>
  <c r="O33" i="1"/>
  <c r="G34" i="2"/>
  <c r="F34" i="2"/>
  <c r="E34" i="2"/>
  <c r="D34" i="2"/>
  <c r="K10" i="1"/>
  <c r="E10" i="1"/>
  <c r="J10" i="1"/>
  <c r="I34" i="1"/>
  <c r="H34" i="1"/>
  <c r="G34" i="1"/>
  <c r="F34" i="1"/>
  <c r="O19" i="1"/>
  <c r="H19" i="2"/>
  <c r="I19" i="2"/>
  <c r="N19" i="2"/>
  <c r="H19" i="3"/>
  <c r="I19" i="3"/>
  <c r="O24" i="1"/>
  <c r="H24" i="2"/>
  <c r="I24" i="2"/>
  <c r="N24" i="2"/>
  <c r="H24" i="3"/>
  <c r="I24" i="3"/>
  <c r="N24" i="3"/>
  <c r="O16" i="1"/>
  <c r="O15" i="1"/>
  <c r="H15" i="2"/>
  <c r="I15" i="2"/>
  <c r="N15" i="2"/>
  <c r="H15" i="3"/>
  <c r="I15" i="3"/>
  <c r="N15" i="3"/>
  <c r="O23" i="1"/>
  <c r="H23" i="2"/>
  <c r="I23" i="2"/>
  <c r="N23" i="2"/>
  <c r="H23" i="3"/>
  <c r="I23" i="3"/>
  <c r="N23" i="3"/>
  <c r="K34" i="1"/>
  <c r="K36" i="1"/>
  <c r="K37" i="1"/>
  <c r="K39" i="1"/>
  <c r="O39" i="1"/>
  <c r="O11" i="1"/>
  <c r="H11" i="2"/>
  <c r="I11" i="2"/>
  <c r="N11" i="2"/>
  <c r="H11" i="3"/>
  <c r="I11" i="3"/>
  <c r="N11" i="3"/>
  <c r="O22" i="1"/>
  <c r="H22" i="2"/>
  <c r="I22" i="2"/>
  <c r="N22" i="2"/>
  <c r="H22" i="3"/>
  <c r="I22" i="3"/>
  <c r="N22" i="3"/>
  <c r="O13" i="1"/>
  <c r="H13" i="2"/>
  <c r="I13" i="2"/>
  <c r="N13" i="2"/>
  <c r="H13" i="3"/>
  <c r="I13" i="3"/>
  <c r="N13" i="3"/>
  <c r="E34" i="1"/>
  <c r="O20" i="1"/>
  <c r="H20" i="2"/>
  <c r="I20" i="2"/>
  <c r="N20" i="2"/>
  <c r="H20" i="3"/>
  <c r="I20" i="3"/>
  <c r="N20" i="3"/>
  <c r="H25" i="2"/>
  <c r="I25" i="2"/>
  <c r="N25" i="2"/>
  <c r="H25" i="3"/>
  <c r="I25" i="3"/>
  <c r="N25" i="3"/>
  <c r="O14" i="1"/>
  <c r="H14" i="2"/>
  <c r="I14" i="2"/>
  <c r="N14" i="2"/>
  <c r="H14" i="3"/>
  <c r="I14" i="3"/>
  <c r="N14" i="3"/>
  <c r="H21" i="3"/>
  <c r="H18" i="3"/>
  <c r="I18" i="3"/>
  <c r="N18" i="3"/>
  <c r="O10" i="1"/>
  <c r="I21" i="3"/>
  <c r="J34" i="1"/>
  <c r="O34" i="1"/>
  <c r="H10" i="2"/>
  <c r="N21" i="3"/>
  <c r="H34" i="2"/>
  <c r="I10" i="2"/>
  <c r="I34" i="2"/>
  <c r="J42" i="2"/>
  <c r="N10" i="2"/>
  <c r="H10" i="3"/>
  <c r="I10" i="3"/>
  <c r="H34" i="3"/>
  <c r="N34" i="2"/>
  <c r="N10" i="3"/>
  <c r="N34" i="3"/>
  <c r="I34" i="3"/>
  <c r="J42" i="3"/>
  <c r="J37" i="2"/>
  <c r="J39" i="2"/>
  <c r="N39" i="2"/>
</calcChain>
</file>

<file path=xl/sharedStrings.xml><?xml version="1.0" encoding="utf-8"?>
<sst xmlns="http://schemas.openxmlformats.org/spreadsheetml/2006/main" count="388" uniqueCount="158">
  <si>
    <t>LOBBY ENTERPRISES</t>
  </si>
  <si>
    <t xml:space="preserve">                                                          PROPERTY MANAGERS AND ESTATE AGENTS</t>
  </si>
  <si>
    <t>P.O.BOX 11987</t>
  </si>
  <si>
    <t>TEL : 0722711933/4454322</t>
  </si>
  <si>
    <t>Care taker</t>
  </si>
  <si>
    <t xml:space="preserve">                             </t>
  </si>
  <si>
    <t>Phone no</t>
  </si>
  <si>
    <t>HSE NO</t>
  </si>
  <si>
    <t>NAME</t>
  </si>
  <si>
    <t>PHONE NO</t>
  </si>
  <si>
    <t>DEPOSIT PAID</t>
  </si>
  <si>
    <t>MONTHLY RENT</t>
  </si>
  <si>
    <t>WATER</t>
  </si>
  <si>
    <t>GARBAGE</t>
  </si>
  <si>
    <t>BAL B/D</t>
  </si>
  <si>
    <t>RENT DUE</t>
  </si>
  <si>
    <t>RENT PAID</t>
  </si>
  <si>
    <t>RCT NO</t>
  </si>
  <si>
    <t>DATE</t>
  </si>
  <si>
    <t>PERIOD</t>
  </si>
  <si>
    <t>BALANCE</t>
  </si>
  <si>
    <t>STATUS</t>
  </si>
  <si>
    <t>FORMS</t>
  </si>
  <si>
    <t>Totals</t>
  </si>
  <si>
    <t>Deductions</t>
  </si>
  <si>
    <t>Less Management fees</t>
  </si>
  <si>
    <t>TOTAL DEDUCTIONS</t>
  </si>
  <si>
    <t>BAL B/F</t>
  </si>
  <si>
    <t>Cash deposited</t>
  </si>
  <si>
    <t>Paid</t>
  </si>
  <si>
    <t>Balance</t>
  </si>
  <si>
    <t>AMOUNT DUE</t>
  </si>
  <si>
    <t>AUTHORISED BY JOSEPH GITHINJI</t>
  </si>
  <si>
    <t>EUTOPIA APARTMENT</t>
  </si>
  <si>
    <t>1ST FLOOR</t>
  </si>
  <si>
    <t>2ND FLOOR</t>
  </si>
  <si>
    <t>EUGENE SOITA</t>
  </si>
  <si>
    <t>CHRISTINE NJERI</t>
  </si>
  <si>
    <t>0794656926</t>
  </si>
  <si>
    <t>MILKA NECHESA</t>
  </si>
  <si>
    <t>0757021111</t>
  </si>
  <si>
    <t>ISAAC MEROKA</t>
  </si>
  <si>
    <t>ABRAHAM POPOOLA</t>
  </si>
  <si>
    <t>0718059969</t>
  </si>
  <si>
    <t>EMMANUEL KIBIWOTT</t>
  </si>
  <si>
    <t>JOYELSIE WANGARI</t>
  </si>
  <si>
    <t>0718907311</t>
  </si>
  <si>
    <t>KENNEDY ODHIAMBO</t>
  </si>
  <si>
    <t>0748872560</t>
  </si>
  <si>
    <t>ERHALIE BRIAN</t>
  </si>
  <si>
    <t>0726360843</t>
  </si>
  <si>
    <t>3RD FLOOR</t>
  </si>
  <si>
    <t>0714495635</t>
  </si>
  <si>
    <t xml:space="preserve">ASPEL </t>
  </si>
  <si>
    <t>0700036034</t>
  </si>
  <si>
    <t>UHLKA3R75T</t>
  </si>
  <si>
    <t>UH3C51P4KD</t>
  </si>
  <si>
    <t xml:space="preserve"> MERCY ADHIAMBO</t>
  </si>
  <si>
    <t>UGU431ERRP</t>
  </si>
  <si>
    <t>UGTC41I2AL/UGUC41J4DT/UH3C4241VM</t>
  </si>
  <si>
    <t>7/29/2026 / 7/30/2026 / 8/4/2026</t>
  </si>
  <si>
    <t>STELLA WAMBUGU</t>
  </si>
  <si>
    <t>UGK9W06NZB</t>
  </si>
  <si>
    <t>UGB5OAXKJB</t>
  </si>
  <si>
    <t>UGB34B3FKI</t>
  </si>
  <si>
    <t>0722518863</t>
  </si>
  <si>
    <t>0720812250</t>
  </si>
  <si>
    <t>MARTIN</t>
  </si>
  <si>
    <t>ELIANE KUTU NZOKA</t>
  </si>
  <si>
    <t>NICHOLAS BAHATI</t>
  </si>
  <si>
    <t>8/7/2026/ 8/10/2026</t>
  </si>
  <si>
    <t>UH75F2EUG6/ UH8202858X7</t>
  </si>
  <si>
    <t>UHJQY3N2M8</t>
  </si>
  <si>
    <t>UHIL434J26</t>
  </si>
  <si>
    <t>VACANT</t>
  </si>
  <si>
    <t>0724826455</t>
  </si>
  <si>
    <t>0711 540100</t>
  </si>
  <si>
    <t>UGP5M0KQ6Z/ UHM5M3X07Y/ UHT5M4ORMG</t>
  </si>
  <si>
    <t>7/25/2026/ 8/25/2026/ 8/29/2026</t>
  </si>
  <si>
    <t>.</t>
  </si>
  <si>
    <t>0719 761013</t>
  </si>
  <si>
    <t>AUGUST</t>
  </si>
  <si>
    <t>0799067590</t>
  </si>
  <si>
    <t>0700233292</t>
  </si>
  <si>
    <t>FRED ONYANGO</t>
  </si>
  <si>
    <t>BOOKING FOR OCT</t>
  </si>
  <si>
    <t xml:space="preserve">UGU8J14173/UI38J571Q2 </t>
  </si>
  <si>
    <t>7/30/2026/ 9/3/2026</t>
  </si>
  <si>
    <t>9/31/2026</t>
  </si>
  <si>
    <t>SEPTEMBER</t>
  </si>
  <si>
    <t>UI5QY5MKED</t>
  </si>
  <si>
    <t>UI5435TQ9E</t>
  </si>
  <si>
    <t>ELIANE KUTU</t>
  </si>
  <si>
    <t>UGN3M157HC</t>
  </si>
  <si>
    <t>UI3CU4MCDDI/UI3CU4MEVB</t>
  </si>
  <si>
    <t>UI3L44ZO9N</t>
  </si>
  <si>
    <t>05-09-2026</t>
  </si>
  <si>
    <t>03-09-2026</t>
  </si>
  <si>
    <t>GODFREY OTIENO</t>
  </si>
  <si>
    <t>0718492737</t>
  </si>
  <si>
    <t>UIAAI6CU9A</t>
  </si>
  <si>
    <t>0745355364</t>
  </si>
  <si>
    <t xml:space="preserve">GODFREY </t>
  </si>
  <si>
    <t>NJERI</t>
  </si>
  <si>
    <t>OMAR</t>
  </si>
  <si>
    <t>YVETTE</t>
  </si>
  <si>
    <t>BENSON</t>
  </si>
  <si>
    <t>JAMES</t>
  </si>
  <si>
    <t>0712916433</t>
  </si>
  <si>
    <t>0770009999</t>
  </si>
  <si>
    <t xml:space="preserve">MOSES </t>
  </si>
  <si>
    <t>0706784429</t>
  </si>
  <si>
    <t>UJ25M8QGSN</t>
  </si>
  <si>
    <t>2ND OCT</t>
  </si>
  <si>
    <t xml:space="preserve">OCTOBER </t>
  </si>
  <si>
    <t>UIB1162PV6</t>
  </si>
  <si>
    <t>11TH SEPT</t>
  </si>
  <si>
    <t>UIGEU729D3</t>
  </si>
  <si>
    <t>16TH SEPT</t>
  </si>
  <si>
    <t>UIP5J882MK</t>
  </si>
  <si>
    <t>25TH SEPT</t>
  </si>
  <si>
    <t>UIPGI7UNTJ</t>
  </si>
  <si>
    <t>10TH SEPT</t>
  </si>
  <si>
    <t>UJ1BY8WIG0</t>
  </si>
  <si>
    <t>1ST OCT</t>
  </si>
  <si>
    <t>UI6DI4OIYF/UIQSI4YQYM</t>
  </si>
  <si>
    <t>6TH SEPT/26TH SEPT</t>
  </si>
  <si>
    <t>UI93466EXK</t>
  </si>
  <si>
    <t>VACATING</t>
  </si>
  <si>
    <t>0710124344</t>
  </si>
  <si>
    <t>UISC5897IS/UIBC56AEYS</t>
  </si>
  <si>
    <t>UI45O5A1P4</t>
  </si>
  <si>
    <t>4TH SEPT</t>
  </si>
  <si>
    <t>SAUMU ALI</t>
  </si>
  <si>
    <t>0703377571</t>
  </si>
  <si>
    <t>UIABY6CL2X</t>
  </si>
  <si>
    <t>UJ1BY8WIGO</t>
  </si>
  <si>
    <t>0720812250/0710317252</t>
  </si>
  <si>
    <t xml:space="preserve"> UI1QL51KQ6</t>
  </si>
  <si>
    <t>1ST SEPT</t>
  </si>
  <si>
    <t>UG9QLARYCV/ UGBJQAC3YB/ UGGJQAV7M2/ UGIQB5W5W/6645</t>
  </si>
  <si>
    <t>7/9/2026/ 7/16/2026/ 7/20/2026/3RD JULY</t>
  </si>
  <si>
    <t>UJ18J8J6O3</t>
  </si>
  <si>
    <t>UI4C45R1M4/UIAC46HL2A</t>
  </si>
  <si>
    <t>9/4/2026/10TH SEPT</t>
  </si>
  <si>
    <t>UI38J571Q2</t>
  </si>
  <si>
    <t>3RD SEPT</t>
  </si>
  <si>
    <t>OCT ENTRY</t>
  </si>
  <si>
    <t>0798304890</t>
  </si>
  <si>
    <t>UIB2M6IVDU</t>
  </si>
  <si>
    <t xml:space="preserve">                                                                             SEPTEMBER 2026</t>
  </si>
  <si>
    <t>0729691327</t>
  </si>
  <si>
    <t>UJ5JQ89G74</t>
  </si>
  <si>
    <t xml:space="preserve">5TH OCTOBER </t>
  </si>
  <si>
    <t>UJ4C593OPM</t>
  </si>
  <si>
    <t>4TH OCT</t>
  </si>
  <si>
    <t>UJ1kk80Z5A/UJ1KK80UX9</t>
  </si>
  <si>
    <t xml:space="preserve">1ST 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</si>
</sst>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1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rgb="FF00B0F0"/>
      <name val="Calibri"/>
      <family val="2"/>
      <charset val="134"/>
      <scheme val="minor"/>
    </font>
    <font>
      <sz val="14"/>
      <color theme="1"/>
      <name val="Calibri"/>
      <family val="2"/>
      <charset val="134"/>
      <scheme val="minor"/>
    </font>
    <font>
      <b/>
      <sz val="14"/>
      <color rgb="FFFF0000"/>
      <name val="Calibri"/>
      <family val="2"/>
      <charset val="134"/>
      <scheme val="minor"/>
    </font>
    <font>
      <b/>
      <sz val="14"/>
      <color theme="1"/>
      <name val="Calibri"/>
      <family val="2"/>
      <charset val="134"/>
      <scheme val="minor"/>
    </font>
    <font>
      <sz val="14"/>
      <name val="Calibri"/>
      <family val="2"/>
      <charset val="134"/>
      <scheme val="minor"/>
    </font>
    <font>
      <b/>
      <sz val="14"/>
      <name val="Calibri"/>
      <family val="2"/>
      <charset val="134"/>
      <scheme val="minor"/>
    </font>
    <font>
      <b/>
      <u val="singleAccounting"/>
      <sz val="14"/>
      <color theme="1"/>
      <name val="Calibri"/>
      <family val="2"/>
      <charset val="134"/>
      <scheme val="minor"/>
    </font>
    <font>
      <b/>
      <sz val="14"/>
      <color rgb="FF000000"/>
      <name val="Calibri"/>
      <family val="2"/>
      <charset val="134"/>
      <scheme val="minor"/>
    </font>
    <font>
      <b/>
      <u/>
      <sz val="14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3" fontId="2" fillId="0" borderId="1" xfId="1" applyFont="1" applyBorder="1" applyAlignment="1">
      <alignment horizontal="left"/>
    </xf>
    <xf numFmtId="0" fontId="4" fillId="0" borderId="1" xfId="0" applyFont="1" applyBorder="1"/>
    <xf numFmtId="3" fontId="2" fillId="0" borderId="1" xfId="1" applyNumberFormat="1" applyFont="1" applyBorder="1"/>
    <xf numFmtId="43" fontId="2" fillId="0" borderId="1" xfId="1" applyFont="1" applyBorder="1"/>
    <xf numFmtId="0" fontId="2" fillId="0" borderId="1" xfId="1" applyNumberFormat="1" applyFont="1" applyBorder="1"/>
    <xf numFmtId="43" fontId="4" fillId="0" borderId="1" xfId="1" applyFont="1" applyBorder="1"/>
    <xf numFmtId="43" fontId="5" fillId="0" borderId="1" xfId="1" applyFont="1" applyBorder="1"/>
    <xf numFmtId="0" fontId="5" fillId="0" borderId="1" xfId="0" applyFont="1" applyBorder="1"/>
    <xf numFmtId="3" fontId="5" fillId="0" borderId="1" xfId="1" applyNumberFormat="1" applyFont="1" applyBorder="1"/>
    <xf numFmtId="0" fontId="5" fillId="0" borderId="1" xfId="1" applyNumberFormat="1" applyFont="1" applyBorder="1"/>
    <xf numFmtId="3" fontId="3" fillId="0" borderId="1" xfId="0" applyNumberFormat="1" applyFont="1" applyBorder="1"/>
    <xf numFmtId="0" fontId="5" fillId="0" borderId="1" xfId="1" quotePrefix="1" applyNumberFormat="1" applyFont="1" applyBorder="1"/>
    <xf numFmtId="0" fontId="5" fillId="0" borderId="1" xfId="0" quotePrefix="1" applyFont="1" applyBorder="1"/>
    <xf numFmtId="43" fontId="5" fillId="0" borderId="1" xfId="1" applyFont="1" applyBorder="1" applyAlignment="1">
      <alignment horizontal="right"/>
    </xf>
    <xf numFmtId="43" fontId="2" fillId="0" borderId="1" xfId="1" applyFont="1" applyBorder="1" applyAlignment="1">
      <alignment horizontal="right" wrapText="1"/>
    </xf>
    <xf numFmtId="43" fontId="2" fillId="0" borderId="1" xfId="1" applyFont="1" applyBorder="1" applyAlignment="1">
      <alignment wrapText="1"/>
    </xf>
    <xf numFmtId="43" fontId="2" fillId="0" borderId="1" xfId="1" applyFont="1" applyBorder="1" applyAlignment="1">
      <alignment horizontal="center"/>
    </xf>
    <xf numFmtId="3" fontId="6" fillId="0" borderId="1" xfId="1" applyNumberFormat="1" applyFont="1" applyFill="1" applyBorder="1"/>
    <xf numFmtId="43" fontId="3" fillId="0" borderId="1" xfId="1" applyFont="1" applyFill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43" fontId="3" fillId="0" borderId="1" xfId="1" applyFont="1" applyFill="1" applyBorder="1"/>
    <xf numFmtId="49" fontId="3" fillId="0" borderId="1" xfId="0" quotePrefix="1" applyNumberFormat="1" applyFont="1" applyBorder="1"/>
    <xf numFmtId="14" fontId="5" fillId="0" borderId="1" xfId="0" applyNumberFormat="1" applyFont="1" applyBorder="1"/>
    <xf numFmtId="43" fontId="3" fillId="0" borderId="1" xfId="0" applyNumberFormat="1" applyFont="1" applyBorder="1"/>
    <xf numFmtId="164" fontId="6" fillId="0" borderId="1" xfId="1" applyNumberFormat="1" applyFont="1" applyBorder="1" applyAlignment="1">
      <alignment horizontal="right"/>
    </xf>
    <xf numFmtId="0" fontId="6" fillId="0" borderId="1" xfId="1" applyNumberFormat="1" applyFont="1" applyBorder="1" applyAlignment="1">
      <alignment horizontal="center"/>
    </xf>
    <xf numFmtId="14" fontId="6" fillId="0" borderId="1" xfId="1" applyNumberFormat="1" applyFont="1" applyBorder="1" applyAlignment="1">
      <alignment horizontal="center"/>
    </xf>
    <xf numFmtId="164" fontId="3" fillId="0" borderId="1" xfId="1" applyNumberFormat="1" applyFont="1" applyBorder="1"/>
    <xf numFmtId="49" fontId="3" fillId="0" borderId="1" xfId="0" applyNumberFormat="1" applyFont="1" applyBorder="1"/>
    <xf numFmtId="0" fontId="7" fillId="0" borderId="1" xfId="0" applyFont="1" applyBorder="1"/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3" fontId="5" fillId="0" borderId="1" xfId="0" applyNumberFormat="1" applyFont="1" applyBorder="1"/>
    <xf numFmtId="164" fontId="8" fillId="0" borderId="1" xfId="1" applyNumberFormat="1" applyFont="1" applyBorder="1"/>
    <xf numFmtId="3" fontId="9" fillId="0" borderId="1" xfId="0" applyNumberFormat="1" applyFont="1" applyBorder="1" applyAlignment="1">
      <alignment wrapText="1"/>
    </xf>
    <xf numFmtId="0" fontId="10" fillId="0" borderId="1" xfId="0" applyFont="1" applyBorder="1"/>
    <xf numFmtId="164" fontId="2" fillId="0" borderId="2" xfId="1" applyNumberFormat="1" applyFont="1" applyBorder="1"/>
    <xf numFmtId="3" fontId="5" fillId="0" borderId="1" xfId="0" applyNumberFormat="1" applyFont="1" applyBorder="1" applyAlignment="1">
      <alignment horizontal="center"/>
    </xf>
    <xf numFmtId="14" fontId="5" fillId="0" borderId="1" xfId="1" applyNumberFormat="1" applyFont="1" applyBorder="1"/>
    <xf numFmtId="14" fontId="3" fillId="0" borderId="1" xfId="1" applyNumberFormat="1" applyFont="1" applyBorder="1"/>
    <xf numFmtId="164" fontId="0" fillId="0" borderId="0" xfId="0" applyNumberFormat="1"/>
    <xf numFmtId="0" fontId="6" fillId="2" borderId="1" xfId="0" applyFont="1" applyFill="1" applyBorder="1"/>
    <xf numFmtId="0" fontId="6" fillId="3" borderId="1" xfId="0" applyFont="1" applyFill="1" applyBorder="1"/>
    <xf numFmtId="0" fontId="11" fillId="2" borderId="0" xfId="0" applyFont="1" applyFill="1"/>
    <xf numFmtId="0" fontId="11" fillId="3" borderId="0" xfId="0" applyFont="1" applyFill="1"/>
    <xf numFmtId="0" fontId="11" fillId="4" borderId="0" xfId="0" applyFont="1" applyFill="1"/>
    <xf numFmtId="0" fontId="6" fillId="4" borderId="1" xfId="0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/>
    <xf numFmtId="165" fontId="3" fillId="0" borderId="1" xfId="1" applyNumberFormat="1" applyFont="1" applyBorder="1"/>
    <xf numFmtId="14" fontId="6" fillId="0" borderId="1" xfId="1" quotePrefix="1" applyNumberFormat="1" applyFont="1" applyBorder="1" applyAlignment="1">
      <alignment horizontal="center"/>
    </xf>
    <xf numFmtId="164" fontId="6" fillId="0" borderId="3" xfId="1" applyNumberFormat="1" applyFont="1" applyFill="1" applyBorder="1" applyAlignment="1">
      <alignment horizontal="right"/>
    </xf>
    <xf numFmtId="0" fontId="6" fillId="0" borderId="3" xfId="1" applyNumberFormat="1" applyFont="1" applyFill="1" applyBorder="1" applyAlignment="1">
      <alignment horizontal="center"/>
    </xf>
    <xf numFmtId="0" fontId="3" fillId="2" borderId="1" xfId="0" applyFont="1" applyFill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5F41-BAE1-45DB-90DF-23E3F1849328}">
  <dimension ref="A1:P41"/>
  <sheetViews>
    <sheetView topLeftCell="B4" zoomScale="55" zoomScaleNormal="55" workbookViewId="0">
      <selection activeCell="B16" sqref="A16:XFD16"/>
    </sheetView>
  </sheetViews>
  <sheetFormatPr defaultRowHeight="15" x14ac:dyDescent="0.2"/>
  <cols>
    <col min="1" max="1" width="21.25390625" customWidth="1"/>
    <col min="2" max="2" width="9.14453125" customWidth="1"/>
    <col min="3" max="3" width="30.265625" customWidth="1"/>
    <col min="4" max="4" width="21.1171875" customWidth="1"/>
    <col min="5" max="5" width="23" customWidth="1"/>
    <col min="6" max="6" width="22.46484375" customWidth="1"/>
    <col min="7" max="7" width="15.6015625" customWidth="1"/>
    <col min="8" max="8" width="14.66015625" customWidth="1"/>
    <col min="9" max="9" width="15.87109375" customWidth="1"/>
    <col min="10" max="10" width="16.94921875" customWidth="1"/>
    <col min="11" max="11" width="15.46875" customWidth="1"/>
    <col min="12" max="12" width="88.91796875" customWidth="1"/>
    <col min="13" max="13" width="53.94140625" customWidth="1"/>
    <col min="14" max="14" width="17.08203125" customWidth="1"/>
    <col min="15" max="15" width="18.0234375" customWidth="1"/>
    <col min="16" max="16" width="26.23046875" customWidth="1"/>
  </cols>
  <sheetData>
    <row r="1" spans="1:16" ht="18.75" x14ac:dyDescent="0.25">
      <c r="B1" s="1"/>
      <c r="C1" s="2"/>
      <c r="D1" s="3" t="s">
        <v>0</v>
      </c>
      <c r="E1" s="4"/>
      <c r="F1" s="2"/>
      <c r="G1" s="2"/>
      <c r="H1" s="2"/>
      <c r="I1" s="5"/>
      <c r="J1" s="6"/>
      <c r="K1" s="6"/>
      <c r="L1" s="7"/>
      <c r="M1" s="7"/>
      <c r="N1" s="7"/>
      <c r="O1" s="8"/>
      <c r="P1" s="8"/>
    </row>
    <row r="2" spans="1:16" ht="18.75" x14ac:dyDescent="0.25">
      <c r="B2" s="1" t="s">
        <v>1</v>
      </c>
      <c r="C2" s="1"/>
      <c r="D2" s="1"/>
      <c r="E2" s="1"/>
      <c r="F2" s="6"/>
      <c r="G2" s="6"/>
      <c r="H2" s="6"/>
      <c r="I2" s="5"/>
      <c r="J2" s="6"/>
      <c r="K2" s="6"/>
      <c r="L2" s="7"/>
      <c r="M2" s="7"/>
      <c r="N2" s="7"/>
      <c r="O2" s="8"/>
      <c r="P2" s="8"/>
    </row>
    <row r="3" spans="1:16" ht="18.75" x14ac:dyDescent="0.25">
      <c r="B3" s="59">
        <v>46266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1"/>
    </row>
    <row r="4" spans="1:16" ht="18.75" x14ac:dyDescent="0.25">
      <c r="B4" s="1"/>
      <c r="C4" s="1"/>
      <c r="D4" s="1"/>
      <c r="E4" s="6"/>
      <c r="F4" s="6"/>
      <c r="G4" s="6"/>
      <c r="H4" s="6"/>
      <c r="I4" s="5"/>
      <c r="J4" s="6"/>
      <c r="K4" s="6"/>
      <c r="L4" s="7" t="s">
        <v>2</v>
      </c>
      <c r="M4" s="7"/>
      <c r="N4" s="7"/>
      <c r="O4" s="9"/>
      <c r="P4" s="9"/>
    </row>
    <row r="5" spans="1:16" ht="18.75" x14ac:dyDescent="0.25">
      <c r="B5" s="10"/>
      <c r="C5" s="10"/>
      <c r="D5" s="10"/>
      <c r="E5" s="9"/>
      <c r="F5" s="9"/>
      <c r="G5" s="9"/>
      <c r="H5" s="9"/>
      <c r="I5" s="11"/>
      <c r="J5" s="9"/>
      <c r="K5" s="9"/>
      <c r="L5" s="12" t="s">
        <v>3</v>
      </c>
      <c r="M5" s="12"/>
      <c r="N5" s="12"/>
      <c r="O5" s="9"/>
      <c r="P5" s="9"/>
    </row>
    <row r="6" spans="1:16" ht="18.75" x14ac:dyDescent="0.25">
      <c r="B6" s="10" t="s">
        <v>33</v>
      </c>
      <c r="C6" s="10"/>
      <c r="D6" s="10"/>
      <c r="E6" s="2"/>
      <c r="F6" s="2"/>
      <c r="G6" s="2"/>
      <c r="H6" s="2"/>
      <c r="I6" s="13"/>
      <c r="J6" s="2"/>
      <c r="K6" s="9" t="s">
        <v>4</v>
      </c>
      <c r="L6" s="12" t="s">
        <v>67</v>
      </c>
      <c r="M6" s="12"/>
      <c r="N6" s="12" t="s">
        <v>53</v>
      </c>
      <c r="O6" s="9"/>
      <c r="P6" s="9"/>
    </row>
    <row r="7" spans="1:16" ht="18.75" x14ac:dyDescent="0.25">
      <c r="B7" s="10"/>
      <c r="C7" s="10"/>
      <c r="D7" s="10"/>
      <c r="E7" s="2" t="s">
        <v>5</v>
      </c>
      <c r="F7" s="2"/>
      <c r="G7" s="2"/>
      <c r="H7" s="2"/>
      <c r="I7" s="13"/>
      <c r="J7" s="2"/>
      <c r="K7" s="9" t="s">
        <v>6</v>
      </c>
      <c r="L7" s="14" t="s">
        <v>52</v>
      </c>
      <c r="M7" s="14"/>
      <c r="N7" s="14" t="s">
        <v>54</v>
      </c>
      <c r="O7" s="9"/>
      <c r="P7" s="9"/>
    </row>
    <row r="8" spans="1:16" ht="18.75" x14ac:dyDescent="0.25">
      <c r="B8" s="10"/>
      <c r="C8" s="15"/>
      <c r="D8" s="10"/>
      <c r="E8" s="16"/>
      <c r="F8" s="9"/>
      <c r="G8" s="9"/>
      <c r="H8" s="9"/>
      <c r="I8" s="11"/>
      <c r="J8" s="9"/>
      <c r="K8" s="9"/>
      <c r="L8" s="12"/>
      <c r="M8" s="12"/>
      <c r="N8" s="12"/>
      <c r="O8" s="9"/>
      <c r="P8" s="9"/>
    </row>
    <row r="9" spans="1:16" ht="18.75" x14ac:dyDescent="0.25">
      <c r="B9" s="1" t="s">
        <v>7</v>
      </c>
      <c r="C9" s="1" t="s">
        <v>8</v>
      </c>
      <c r="D9" s="1" t="s">
        <v>9</v>
      </c>
      <c r="E9" s="17" t="s">
        <v>10</v>
      </c>
      <c r="F9" s="18" t="s">
        <v>11</v>
      </c>
      <c r="G9" s="18" t="s">
        <v>12</v>
      </c>
      <c r="H9" s="18" t="s">
        <v>13</v>
      </c>
      <c r="I9" s="5" t="s">
        <v>14</v>
      </c>
      <c r="J9" s="19" t="s">
        <v>15</v>
      </c>
      <c r="K9" s="6" t="s">
        <v>16</v>
      </c>
      <c r="L9" s="1" t="s">
        <v>17</v>
      </c>
      <c r="M9" s="1" t="s">
        <v>18</v>
      </c>
      <c r="N9" s="1" t="s">
        <v>19</v>
      </c>
      <c r="O9" s="6" t="s">
        <v>20</v>
      </c>
      <c r="P9" s="6" t="s">
        <v>21</v>
      </c>
    </row>
    <row r="10" spans="1:16" ht="18.75" x14ac:dyDescent="0.25">
      <c r="A10" s="48" t="s">
        <v>34</v>
      </c>
      <c r="B10" s="46">
        <v>11</v>
      </c>
      <c r="C10" s="2" t="s">
        <v>37</v>
      </c>
      <c r="D10" s="24" t="s">
        <v>38</v>
      </c>
      <c r="E10" s="27">
        <f>25000+2000</f>
        <v>27000</v>
      </c>
      <c r="F10" s="27">
        <v>10000</v>
      </c>
      <c r="G10" s="27">
        <v>0</v>
      </c>
      <c r="H10" s="27"/>
      <c r="I10" s="20">
        <v>0</v>
      </c>
      <c r="J10" s="21">
        <f>E10+F10+G10+H10+I10</f>
        <v>37000</v>
      </c>
      <c r="K10" s="30">
        <f>37000</f>
        <v>37000</v>
      </c>
      <c r="L10" s="28" t="s">
        <v>73</v>
      </c>
      <c r="M10" s="29">
        <v>46252</v>
      </c>
      <c r="N10" s="22" t="s">
        <v>81</v>
      </c>
      <c r="O10" s="23">
        <f>J10-K10</f>
        <v>0</v>
      </c>
      <c r="P10" s="25"/>
    </row>
    <row r="11" spans="1:16" ht="18.75" x14ac:dyDescent="0.25">
      <c r="B11" s="46">
        <v>12</v>
      </c>
      <c r="C11" s="2" t="s">
        <v>45</v>
      </c>
      <c r="D11" s="24" t="s">
        <v>46</v>
      </c>
      <c r="E11" s="27">
        <f>35000+2000</f>
        <v>37000</v>
      </c>
      <c r="F11" s="27"/>
      <c r="G11" s="27">
        <v>0</v>
      </c>
      <c r="H11" s="27"/>
      <c r="I11" s="20">
        <v>0</v>
      </c>
      <c r="J11" s="21">
        <f t="shared" ref="J11:J25" si="0">E11+F11+G11+H11+I11</f>
        <v>37000</v>
      </c>
      <c r="K11" s="30">
        <f>20000+72000</f>
        <v>92000</v>
      </c>
      <c r="L11" s="28" t="s">
        <v>71</v>
      </c>
      <c r="M11" s="29" t="s">
        <v>70</v>
      </c>
      <c r="N11" s="22" t="s">
        <v>81</v>
      </c>
      <c r="O11" s="23">
        <f t="shared" ref="O11:O33" si="1">J11-K11</f>
        <v>-55000</v>
      </c>
      <c r="P11" s="25"/>
    </row>
    <row r="12" spans="1:16" ht="18.75" x14ac:dyDescent="0.25">
      <c r="B12" s="46">
        <v>13</v>
      </c>
      <c r="C12" s="2" t="s">
        <v>84</v>
      </c>
      <c r="D12" s="24" t="s">
        <v>83</v>
      </c>
      <c r="E12" s="27">
        <v>37000</v>
      </c>
      <c r="F12" s="27"/>
      <c r="G12" s="27">
        <v>0</v>
      </c>
      <c r="H12" s="27"/>
      <c r="I12" s="20">
        <v>0</v>
      </c>
      <c r="J12" s="21">
        <f t="shared" si="0"/>
        <v>37000</v>
      </c>
      <c r="K12" s="30">
        <f>5000</f>
        <v>5000</v>
      </c>
      <c r="L12" s="28" t="s">
        <v>93</v>
      </c>
      <c r="M12" s="29">
        <v>46226</v>
      </c>
      <c r="N12" s="22" t="s">
        <v>81</v>
      </c>
      <c r="O12" s="23">
        <f t="shared" si="1"/>
        <v>32000</v>
      </c>
      <c r="P12" s="25" t="s">
        <v>85</v>
      </c>
    </row>
    <row r="13" spans="1:16" ht="18.75" x14ac:dyDescent="0.25">
      <c r="B13" s="46">
        <v>14</v>
      </c>
      <c r="C13" s="2" t="s">
        <v>69</v>
      </c>
      <c r="D13" s="24" t="s">
        <v>80</v>
      </c>
      <c r="E13" s="27">
        <f>35000+2000</f>
        <v>37000</v>
      </c>
      <c r="F13" s="27"/>
      <c r="G13" s="27">
        <v>0</v>
      </c>
      <c r="H13" s="27"/>
      <c r="I13" s="20">
        <v>0</v>
      </c>
      <c r="J13" s="21">
        <f t="shared" si="0"/>
        <v>37000</v>
      </c>
      <c r="K13" s="30">
        <f>50000</f>
        <v>50000</v>
      </c>
      <c r="L13" s="28" t="s">
        <v>72</v>
      </c>
      <c r="M13" s="29">
        <v>46253</v>
      </c>
      <c r="N13" s="22" t="s">
        <v>81</v>
      </c>
      <c r="O13" s="23">
        <f t="shared" si="1"/>
        <v>-13000</v>
      </c>
      <c r="P13" s="25"/>
    </row>
    <row r="14" spans="1:16" ht="18.75" x14ac:dyDescent="0.25">
      <c r="B14" s="46">
        <v>15</v>
      </c>
      <c r="C14" s="2" t="s">
        <v>57</v>
      </c>
      <c r="D14" s="24" t="s">
        <v>75</v>
      </c>
      <c r="E14" s="27">
        <f>35000+2000</f>
        <v>37000</v>
      </c>
      <c r="F14" s="27">
        <v>35000</v>
      </c>
      <c r="G14" s="27">
        <v>0</v>
      </c>
      <c r="H14" s="27"/>
      <c r="I14" s="20">
        <v>0</v>
      </c>
      <c r="J14" s="21">
        <f t="shared" si="0"/>
        <v>72000</v>
      </c>
      <c r="K14" s="30">
        <f>72200</f>
        <v>72200</v>
      </c>
      <c r="L14" s="28" t="s">
        <v>58</v>
      </c>
      <c r="M14" s="29">
        <v>46233</v>
      </c>
      <c r="N14" s="22" t="s">
        <v>81</v>
      </c>
      <c r="O14" s="23">
        <f t="shared" si="1"/>
        <v>-200</v>
      </c>
      <c r="P14" s="25"/>
    </row>
    <row r="15" spans="1:16" ht="18.75" x14ac:dyDescent="0.25">
      <c r="B15" s="46">
        <v>16</v>
      </c>
      <c r="C15" s="2" t="s">
        <v>39</v>
      </c>
      <c r="D15" s="24" t="s">
        <v>40</v>
      </c>
      <c r="E15" s="27">
        <f>35000+2000</f>
        <v>37000</v>
      </c>
      <c r="F15" s="27">
        <v>35000</v>
      </c>
      <c r="G15" s="27">
        <v>0</v>
      </c>
      <c r="H15" s="27"/>
      <c r="I15" s="20">
        <v>0</v>
      </c>
      <c r="J15" s="21">
        <f t="shared" si="0"/>
        <v>72000</v>
      </c>
      <c r="K15" s="30">
        <f>72000</f>
        <v>72000</v>
      </c>
      <c r="L15" s="28" t="s">
        <v>63</v>
      </c>
      <c r="M15" s="29">
        <v>46214</v>
      </c>
      <c r="N15" s="22" t="s">
        <v>81</v>
      </c>
      <c r="O15" s="23">
        <f t="shared" si="1"/>
        <v>0</v>
      </c>
      <c r="P15" s="25"/>
    </row>
    <row r="16" spans="1:16" ht="18.75" x14ac:dyDescent="0.25">
      <c r="B16" s="46">
        <v>17</v>
      </c>
      <c r="C16" s="2" t="s">
        <v>61</v>
      </c>
      <c r="D16" s="24"/>
      <c r="E16" s="27">
        <f>35000+2000</f>
        <v>37000</v>
      </c>
      <c r="F16" s="27"/>
      <c r="G16" s="27">
        <v>0</v>
      </c>
      <c r="H16" s="27"/>
      <c r="I16" s="20">
        <v>0</v>
      </c>
      <c r="J16" s="21">
        <f t="shared" si="0"/>
        <v>37000</v>
      </c>
      <c r="K16" s="30">
        <f>15000</f>
        <v>15000</v>
      </c>
      <c r="L16" s="28" t="s">
        <v>62</v>
      </c>
      <c r="M16" s="29">
        <v>46223</v>
      </c>
      <c r="N16" s="22" t="s">
        <v>81</v>
      </c>
      <c r="O16" s="23">
        <f t="shared" si="1"/>
        <v>22000</v>
      </c>
      <c r="P16" s="25" t="s">
        <v>85</v>
      </c>
    </row>
    <row r="17" spans="1:16" ht="18.75" x14ac:dyDescent="0.25">
      <c r="B17" s="46">
        <v>18</v>
      </c>
      <c r="C17" s="2" t="s">
        <v>49</v>
      </c>
      <c r="D17" s="24" t="s">
        <v>50</v>
      </c>
      <c r="E17" s="27">
        <f>37000+2000</f>
        <v>39000</v>
      </c>
      <c r="F17" s="27">
        <v>37000</v>
      </c>
      <c r="G17" s="27">
        <v>0</v>
      </c>
      <c r="H17" s="27"/>
      <c r="I17" s="20">
        <v>0</v>
      </c>
      <c r="J17" s="21">
        <f t="shared" si="0"/>
        <v>76000</v>
      </c>
      <c r="K17" s="30">
        <v>76000</v>
      </c>
      <c r="L17" s="28" t="s">
        <v>56</v>
      </c>
      <c r="M17" s="29">
        <v>46237</v>
      </c>
      <c r="N17" s="22" t="s">
        <v>81</v>
      </c>
      <c r="O17" s="23">
        <f t="shared" si="1"/>
        <v>0</v>
      </c>
      <c r="P17" s="25"/>
    </row>
    <row r="18" spans="1:16" ht="18.75" x14ac:dyDescent="0.25">
      <c r="A18" s="49" t="s">
        <v>35</v>
      </c>
      <c r="B18" s="47">
        <v>21</v>
      </c>
      <c r="C18" s="2" t="s">
        <v>41</v>
      </c>
      <c r="D18" s="24" t="s">
        <v>65</v>
      </c>
      <c r="E18" s="27">
        <f>25000+2000</f>
        <v>27000</v>
      </c>
      <c r="F18" s="27"/>
      <c r="G18" s="27">
        <v>0</v>
      </c>
      <c r="H18" s="27"/>
      <c r="I18" s="20">
        <v>0</v>
      </c>
      <c r="J18" s="21">
        <f t="shared" si="0"/>
        <v>27000</v>
      </c>
      <c r="K18" s="30">
        <v>52000</v>
      </c>
      <c r="L18" s="28" t="s">
        <v>55</v>
      </c>
      <c r="M18" s="29">
        <v>46255</v>
      </c>
      <c r="N18" s="22" t="s">
        <v>81</v>
      </c>
      <c r="O18" s="23">
        <f t="shared" si="1"/>
        <v>-25000</v>
      </c>
      <c r="P18" s="25"/>
    </row>
    <row r="19" spans="1:16" ht="18.75" x14ac:dyDescent="0.25">
      <c r="B19" s="47">
        <v>22</v>
      </c>
      <c r="C19" s="2" t="s">
        <v>44</v>
      </c>
      <c r="D19" s="24" t="s">
        <v>66</v>
      </c>
      <c r="E19" s="27">
        <f>35000+2000</f>
        <v>37000</v>
      </c>
      <c r="F19" s="27">
        <v>35000</v>
      </c>
      <c r="G19" s="27">
        <v>0</v>
      </c>
      <c r="H19" s="27"/>
      <c r="I19" s="20">
        <v>0</v>
      </c>
      <c r="J19" s="21">
        <f t="shared" si="0"/>
        <v>72000</v>
      </c>
      <c r="K19" s="30">
        <f>42000+35000</f>
        <v>77000</v>
      </c>
      <c r="L19" s="28" t="s">
        <v>86</v>
      </c>
      <c r="M19" s="29" t="s">
        <v>87</v>
      </c>
      <c r="N19" s="22" t="s">
        <v>81</v>
      </c>
      <c r="O19" s="23">
        <f t="shared" si="1"/>
        <v>-5000</v>
      </c>
      <c r="P19" s="25"/>
    </row>
    <row r="20" spans="1:16" ht="18.75" x14ac:dyDescent="0.25">
      <c r="B20" s="47">
        <v>23</v>
      </c>
      <c r="C20" s="2" t="s">
        <v>68</v>
      </c>
      <c r="D20" s="24" t="s">
        <v>76</v>
      </c>
      <c r="E20" s="27">
        <f>35000+2000</f>
        <v>37000</v>
      </c>
      <c r="F20" s="27"/>
      <c r="G20" s="27">
        <v>0</v>
      </c>
      <c r="H20" s="27"/>
      <c r="I20" s="20">
        <v>0</v>
      </c>
      <c r="J20" s="21">
        <f t="shared" si="0"/>
        <v>37000</v>
      </c>
      <c r="K20" s="30">
        <f>3000+35000+34000</f>
        <v>72000</v>
      </c>
      <c r="L20" s="28" t="s">
        <v>77</v>
      </c>
      <c r="M20" s="29" t="s">
        <v>78</v>
      </c>
      <c r="N20" s="22" t="s">
        <v>81</v>
      </c>
      <c r="O20" s="23">
        <f t="shared" si="1"/>
        <v>-35000</v>
      </c>
      <c r="P20" s="25"/>
    </row>
    <row r="21" spans="1:16" ht="18.75" x14ac:dyDescent="0.25">
      <c r="B21" s="47">
        <v>24</v>
      </c>
      <c r="C21" s="2" t="s">
        <v>74</v>
      </c>
      <c r="D21" s="24"/>
      <c r="E21" s="27"/>
      <c r="F21" s="27"/>
      <c r="G21" s="27"/>
      <c r="H21" s="27"/>
      <c r="I21" s="20">
        <v>0</v>
      </c>
      <c r="J21" s="21">
        <f t="shared" si="0"/>
        <v>0</v>
      </c>
      <c r="K21" s="30"/>
      <c r="L21" s="28"/>
      <c r="M21" s="29"/>
      <c r="N21" s="22" t="s">
        <v>81</v>
      </c>
      <c r="O21" s="23">
        <f t="shared" si="1"/>
        <v>0</v>
      </c>
      <c r="P21" s="25"/>
    </row>
    <row r="22" spans="1:16" ht="18.75" x14ac:dyDescent="0.25">
      <c r="B22" s="47">
        <v>25</v>
      </c>
      <c r="C22" s="2" t="s">
        <v>36</v>
      </c>
      <c r="D22" s="24" t="s">
        <v>82</v>
      </c>
      <c r="E22" s="27">
        <f>35000+2000</f>
        <v>37000</v>
      </c>
      <c r="F22" s="27">
        <v>35000</v>
      </c>
      <c r="G22" s="27">
        <v>0</v>
      </c>
      <c r="H22" s="27"/>
      <c r="I22" s="20">
        <v>0</v>
      </c>
      <c r="J22" s="21">
        <f t="shared" si="0"/>
        <v>72000</v>
      </c>
      <c r="K22" s="30">
        <f>10000+10000+52000</f>
        <v>72000</v>
      </c>
      <c r="L22" s="28" t="s">
        <v>59</v>
      </c>
      <c r="M22" s="29" t="s">
        <v>60</v>
      </c>
      <c r="N22" s="22" t="s">
        <v>81</v>
      </c>
      <c r="O22" s="23">
        <f t="shared" si="1"/>
        <v>0</v>
      </c>
      <c r="P22" s="25"/>
    </row>
    <row r="23" spans="1:16" ht="18.75" x14ac:dyDescent="0.25">
      <c r="A23" t="s">
        <v>79</v>
      </c>
      <c r="B23" s="47">
        <v>26</v>
      </c>
      <c r="C23" s="2" t="s">
        <v>42</v>
      </c>
      <c r="D23" s="24" t="s">
        <v>43</v>
      </c>
      <c r="E23" s="27">
        <f>35000+2000</f>
        <v>37000</v>
      </c>
      <c r="F23" s="27">
        <v>35000</v>
      </c>
      <c r="G23" s="27">
        <v>0</v>
      </c>
      <c r="H23" s="27"/>
      <c r="I23" s="20">
        <v>0</v>
      </c>
      <c r="J23" s="21">
        <f t="shared" si="0"/>
        <v>72000</v>
      </c>
      <c r="K23" s="30">
        <f>15000+20000+10000+7000+20000</f>
        <v>72000</v>
      </c>
      <c r="L23" s="28" t="s">
        <v>140</v>
      </c>
      <c r="M23" s="29" t="s">
        <v>141</v>
      </c>
      <c r="N23" s="22" t="s">
        <v>81</v>
      </c>
      <c r="O23" s="23">
        <f t="shared" si="1"/>
        <v>0</v>
      </c>
      <c r="P23" s="25"/>
    </row>
    <row r="24" spans="1:16" ht="18.75" x14ac:dyDescent="0.25">
      <c r="B24" s="47">
        <v>27</v>
      </c>
      <c r="C24" s="2" t="s">
        <v>47</v>
      </c>
      <c r="D24" s="24" t="s">
        <v>48</v>
      </c>
      <c r="E24" s="27">
        <f>35000+2000</f>
        <v>37000</v>
      </c>
      <c r="F24" s="27">
        <v>35000</v>
      </c>
      <c r="G24" s="27">
        <v>0</v>
      </c>
      <c r="H24" s="27"/>
      <c r="I24" s="20">
        <v>0</v>
      </c>
      <c r="J24" s="21">
        <f t="shared" si="0"/>
        <v>72000</v>
      </c>
      <c r="K24" s="30">
        <f>72000</f>
        <v>72000</v>
      </c>
      <c r="L24" s="28" t="s">
        <v>64</v>
      </c>
      <c r="M24" s="29">
        <v>46214</v>
      </c>
      <c r="N24" s="22" t="s">
        <v>81</v>
      </c>
      <c r="O24" s="23">
        <f t="shared" si="1"/>
        <v>0</v>
      </c>
      <c r="P24" s="25"/>
    </row>
    <row r="25" spans="1:16" ht="18.75" x14ac:dyDescent="0.25">
      <c r="B25" s="47">
        <v>28</v>
      </c>
      <c r="C25" s="2" t="s">
        <v>74</v>
      </c>
      <c r="D25" s="24"/>
      <c r="E25" s="27"/>
      <c r="F25" s="27"/>
      <c r="G25" s="27">
        <v>0</v>
      </c>
      <c r="H25" s="27"/>
      <c r="I25" s="20">
        <v>0</v>
      </c>
      <c r="J25" s="21">
        <f t="shared" si="0"/>
        <v>0</v>
      </c>
      <c r="K25" s="30"/>
      <c r="L25" s="28"/>
      <c r="M25" s="29"/>
      <c r="N25" s="22" t="s">
        <v>81</v>
      </c>
      <c r="O25" s="23">
        <f t="shared" si="1"/>
        <v>0</v>
      </c>
      <c r="P25" s="25"/>
    </row>
    <row r="26" spans="1:16" ht="18.75" x14ac:dyDescent="0.25">
      <c r="A26" s="50" t="s">
        <v>51</v>
      </c>
      <c r="B26" s="51">
        <v>31</v>
      </c>
      <c r="C26" s="2"/>
      <c r="D26" s="24"/>
      <c r="E26" s="27"/>
      <c r="F26" s="27"/>
      <c r="G26" s="27"/>
      <c r="H26" s="27"/>
      <c r="I26" s="20"/>
      <c r="J26" s="21"/>
      <c r="K26" s="30"/>
      <c r="L26" s="28"/>
      <c r="M26" s="29"/>
      <c r="N26" s="22" t="s">
        <v>81</v>
      </c>
      <c r="O26" s="23">
        <f t="shared" si="1"/>
        <v>0</v>
      </c>
      <c r="P26" s="25"/>
    </row>
    <row r="27" spans="1:16" ht="18.75" x14ac:dyDescent="0.25">
      <c r="B27" s="51">
        <v>32</v>
      </c>
      <c r="C27" s="2"/>
      <c r="D27" s="24"/>
      <c r="E27" s="27"/>
      <c r="F27" s="27"/>
      <c r="G27" s="27"/>
      <c r="H27" s="27"/>
      <c r="I27" s="20"/>
      <c r="J27" s="21"/>
      <c r="K27" s="30"/>
      <c r="L27" s="28"/>
      <c r="M27" s="29"/>
      <c r="N27" s="22" t="s">
        <v>81</v>
      </c>
      <c r="O27" s="23">
        <f t="shared" si="1"/>
        <v>0</v>
      </c>
      <c r="P27" s="25"/>
    </row>
    <row r="28" spans="1:16" ht="18.75" x14ac:dyDescent="0.25">
      <c r="B28" s="51">
        <v>33</v>
      </c>
      <c r="C28" s="2"/>
      <c r="D28" s="24"/>
      <c r="E28" s="27"/>
      <c r="F28" s="27"/>
      <c r="G28" s="27"/>
      <c r="H28" s="27"/>
      <c r="I28" s="20"/>
      <c r="J28" s="21"/>
      <c r="K28" s="30"/>
      <c r="L28" s="28"/>
      <c r="M28" s="29"/>
      <c r="N28" s="22" t="s">
        <v>81</v>
      </c>
      <c r="O28" s="23">
        <f t="shared" si="1"/>
        <v>0</v>
      </c>
      <c r="P28" s="25"/>
    </row>
    <row r="29" spans="1:16" ht="18.75" x14ac:dyDescent="0.25">
      <c r="B29" s="51">
        <v>34</v>
      </c>
      <c r="C29" s="2"/>
      <c r="D29" s="24"/>
      <c r="E29" s="27"/>
      <c r="F29" s="27"/>
      <c r="G29" s="27"/>
      <c r="H29" s="27"/>
      <c r="I29" s="20"/>
      <c r="J29" s="21"/>
      <c r="K29" s="30"/>
      <c r="L29" s="28"/>
      <c r="M29" s="29"/>
      <c r="N29" s="22" t="s">
        <v>81</v>
      </c>
      <c r="O29" s="23">
        <f t="shared" si="1"/>
        <v>0</v>
      </c>
      <c r="P29" s="25"/>
    </row>
    <row r="30" spans="1:16" ht="18.75" x14ac:dyDescent="0.25">
      <c r="B30" s="51">
        <v>35</v>
      </c>
      <c r="C30" s="2"/>
      <c r="D30" s="24"/>
      <c r="E30" s="27"/>
      <c r="F30" s="27"/>
      <c r="G30" s="27"/>
      <c r="H30" s="27"/>
      <c r="I30" s="20"/>
      <c r="J30" s="21"/>
      <c r="K30" s="30"/>
      <c r="L30" s="28"/>
      <c r="M30" s="29"/>
      <c r="N30" s="22" t="s">
        <v>81</v>
      </c>
      <c r="O30" s="23">
        <f t="shared" si="1"/>
        <v>0</v>
      </c>
      <c r="P30" s="25"/>
    </row>
    <row r="31" spans="1:16" ht="18.75" x14ac:dyDescent="0.25">
      <c r="B31" s="51">
        <v>36</v>
      </c>
      <c r="C31" s="2"/>
      <c r="D31" s="24"/>
      <c r="E31" s="27"/>
      <c r="F31" s="27"/>
      <c r="G31" s="27"/>
      <c r="H31" s="27"/>
      <c r="I31" s="20"/>
      <c r="J31" s="21"/>
      <c r="K31" s="30"/>
      <c r="L31" s="28"/>
      <c r="M31" s="29"/>
      <c r="N31" s="22" t="s">
        <v>81</v>
      </c>
      <c r="O31" s="23">
        <f t="shared" si="1"/>
        <v>0</v>
      </c>
      <c r="P31" s="25"/>
    </row>
    <row r="32" spans="1:16" ht="18.75" x14ac:dyDescent="0.25">
      <c r="B32" s="51">
        <v>37</v>
      </c>
      <c r="C32" s="2"/>
      <c r="D32" s="24"/>
      <c r="E32" s="27"/>
      <c r="F32" s="27"/>
      <c r="G32" s="27"/>
      <c r="H32" s="27"/>
      <c r="I32" s="20"/>
      <c r="J32" s="21"/>
      <c r="K32" s="30"/>
      <c r="L32" s="28"/>
      <c r="M32" s="29"/>
      <c r="N32" s="22" t="s">
        <v>81</v>
      </c>
      <c r="O32" s="23">
        <f t="shared" si="1"/>
        <v>0</v>
      </c>
      <c r="P32" s="25"/>
    </row>
    <row r="33" spans="2:16" ht="18.75" x14ac:dyDescent="0.25">
      <c r="B33" s="51">
        <v>38</v>
      </c>
      <c r="C33" s="2"/>
      <c r="D33" s="24"/>
      <c r="E33" s="27"/>
      <c r="F33" s="27"/>
      <c r="G33" s="27"/>
      <c r="H33" s="27"/>
      <c r="I33" s="20"/>
      <c r="J33" s="21"/>
      <c r="K33" s="30"/>
      <c r="L33" s="28"/>
      <c r="M33" s="29"/>
      <c r="N33" s="22" t="s">
        <v>81</v>
      </c>
      <c r="O33" s="23">
        <f t="shared" si="1"/>
        <v>0</v>
      </c>
      <c r="P33" s="25"/>
    </row>
    <row r="34" spans="2:16" ht="18.75" x14ac:dyDescent="0.25">
      <c r="B34" s="32" t="s">
        <v>23</v>
      </c>
      <c r="C34" s="2"/>
      <c r="D34" s="31"/>
      <c r="E34" s="52">
        <f t="shared" ref="E34:K34" si="2">SUM(E10:E33)</f>
        <v>500000</v>
      </c>
      <c r="F34" s="53">
        <f t="shared" si="2"/>
        <v>257000</v>
      </c>
      <c r="G34" s="53">
        <f t="shared" si="2"/>
        <v>0</v>
      </c>
      <c r="H34" s="53">
        <f t="shared" si="2"/>
        <v>0</v>
      </c>
      <c r="I34" s="53">
        <f t="shared" si="2"/>
        <v>0</v>
      </c>
      <c r="J34" s="53">
        <f t="shared" si="2"/>
        <v>757000</v>
      </c>
      <c r="K34" s="53">
        <f t="shared" si="2"/>
        <v>836200</v>
      </c>
      <c r="L34" s="53"/>
      <c r="M34" s="53"/>
      <c r="N34" s="53"/>
      <c r="O34" s="53">
        <f>SUM(O10:O33)</f>
        <v>-79200</v>
      </c>
      <c r="P34" s="34"/>
    </row>
    <row r="35" spans="2:16" ht="18.75" x14ac:dyDescent="0.25">
      <c r="B35" s="36" t="s">
        <v>24</v>
      </c>
      <c r="C35" s="2"/>
      <c r="D35" s="31"/>
      <c r="E35" s="33"/>
      <c r="F35" s="34"/>
      <c r="G35" s="34"/>
      <c r="H35" s="34"/>
      <c r="I35" s="35"/>
      <c r="J35" s="34"/>
      <c r="K35" s="34"/>
      <c r="L35" s="1"/>
      <c r="M35" s="1"/>
      <c r="N35" s="1"/>
      <c r="O35" s="34"/>
      <c r="P35" s="34"/>
    </row>
    <row r="36" spans="2:16" ht="18.75" x14ac:dyDescent="0.25">
      <c r="B36" s="2" t="s">
        <v>25</v>
      </c>
      <c r="C36" s="2"/>
      <c r="D36" s="31"/>
      <c r="E36" s="2"/>
      <c r="F36" s="2"/>
      <c r="G36" s="2"/>
      <c r="H36" s="2"/>
      <c r="I36" s="13"/>
      <c r="J36" s="2"/>
      <c r="K36" s="54">
        <f>5%*K34</f>
        <v>41810</v>
      </c>
      <c r="L36" s="2"/>
      <c r="M36" s="2"/>
      <c r="N36" s="2"/>
      <c r="O36" s="2"/>
      <c r="P36" s="10"/>
    </row>
    <row r="37" spans="2:16" ht="21" x14ac:dyDescent="0.4">
      <c r="B37" s="10" t="s">
        <v>26</v>
      </c>
      <c r="C37" s="10"/>
      <c r="D37" s="10"/>
      <c r="E37" s="10"/>
      <c r="F37" s="10"/>
      <c r="G37" s="10"/>
      <c r="H37" s="10"/>
      <c r="I37" s="37"/>
      <c r="J37" s="10"/>
      <c r="K37" s="38">
        <f>SUM(K36:K36)</f>
        <v>41810</v>
      </c>
      <c r="L37" s="10"/>
      <c r="M37" s="10"/>
      <c r="N37" s="2"/>
      <c r="O37" s="10"/>
      <c r="P37" s="10"/>
    </row>
    <row r="38" spans="2:16" ht="18.75" x14ac:dyDescent="0.25">
      <c r="B38" s="2" t="s">
        <v>27</v>
      </c>
      <c r="C38" s="2"/>
      <c r="D38" s="2"/>
      <c r="E38" s="2"/>
      <c r="F38" s="2"/>
      <c r="G38" s="2"/>
      <c r="H38" s="2"/>
      <c r="I38" s="13"/>
      <c r="J38" s="2"/>
      <c r="K38" s="39"/>
      <c r="L38" s="40" t="s">
        <v>28</v>
      </c>
      <c r="M38" s="40"/>
      <c r="N38" s="40" t="s">
        <v>29</v>
      </c>
      <c r="O38" s="40" t="s">
        <v>30</v>
      </c>
      <c r="P38" s="2"/>
    </row>
    <row r="39" spans="2:16" ht="19.5" thickBot="1" x14ac:dyDescent="0.3">
      <c r="B39" s="1" t="s">
        <v>31</v>
      </c>
      <c r="C39" s="1"/>
      <c r="D39" s="1"/>
      <c r="E39" s="1"/>
      <c r="F39" s="1"/>
      <c r="G39" s="1"/>
      <c r="H39" s="1"/>
      <c r="I39" s="35"/>
      <c r="J39" s="10"/>
      <c r="K39" s="41">
        <f>K37</f>
        <v>41810</v>
      </c>
      <c r="L39" s="37"/>
      <c r="M39" s="37"/>
      <c r="N39" s="37"/>
      <c r="O39" s="42">
        <f>K39+K38-L39-N39</f>
        <v>41810</v>
      </c>
      <c r="P39" s="2"/>
    </row>
    <row r="40" spans="2:16" ht="19.5" thickTop="1" x14ac:dyDescent="0.25">
      <c r="B40" s="2" t="s">
        <v>32</v>
      </c>
      <c r="C40" s="2"/>
      <c r="D40" s="2"/>
      <c r="E40" s="2"/>
      <c r="F40" s="2"/>
      <c r="G40" s="2"/>
      <c r="H40" s="2"/>
      <c r="I40" s="13"/>
      <c r="J40" s="2"/>
      <c r="K40" s="2"/>
      <c r="L40" s="2"/>
      <c r="M40" s="2"/>
      <c r="N40" s="2"/>
      <c r="O40" s="43">
        <v>46265</v>
      </c>
      <c r="P40" s="44"/>
    </row>
    <row r="41" spans="2:16" x14ac:dyDescent="0.2">
      <c r="K41" s="45"/>
    </row>
  </sheetData>
  <mergeCells count="1">
    <mergeCell ref="B3:O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7584-33EE-4523-BC62-592E6652B4BA}">
  <sheetPr>
    <pageSetUpPr fitToPage="1"/>
  </sheetPr>
  <dimension ref="A1:O42"/>
  <sheetViews>
    <sheetView topLeftCell="M9" zoomScale="60" zoomScaleNormal="60" workbookViewId="0">
      <selection activeCell="A31" sqref="A31:XFD31"/>
    </sheetView>
  </sheetViews>
  <sheetFormatPr defaultRowHeight="15" x14ac:dyDescent="0.2"/>
  <cols>
    <col min="2" max="2" width="27.84375" customWidth="1"/>
    <col min="3" max="3" width="20.04296875" customWidth="1"/>
    <col min="4" max="4" width="20.71484375" customWidth="1"/>
    <col min="5" max="5" width="17.08203125" customWidth="1"/>
    <col min="6" max="6" width="16.6796875" customWidth="1"/>
    <col min="7" max="7" width="16.27734375" customWidth="1"/>
    <col min="8" max="8" width="13.98828125" customWidth="1"/>
    <col min="9" max="9" width="20.3125" customWidth="1"/>
    <col min="10" max="10" width="17.890625" customWidth="1"/>
    <col min="11" max="11" width="43.98828125" customWidth="1"/>
    <col min="12" max="12" width="30.53515625" customWidth="1"/>
    <col min="13" max="13" width="17.75390625" customWidth="1"/>
    <col min="14" max="14" width="20.4453125" customWidth="1"/>
    <col min="15" max="15" width="35.2421875" customWidth="1"/>
  </cols>
  <sheetData>
    <row r="1" spans="1:15" ht="18.75" x14ac:dyDescent="0.25">
      <c r="A1" s="1"/>
      <c r="B1" s="1"/>
      <c r="C1" s="1" t="s">
        <v>0</v>
      </c>
      <c r="D1" s="1"/>
      <c r="E1" s="6"/>
      <c r="F1" s="6"/>
      <c r="G1" s="6"/>
      <c r="H1" s="5"/>
      <c r="I1" s="6"/>
      <c r="J1" s="6"/>
      <c r="K1" s="7"/>
      <c r="L1" s="7"/>
      <c r="M1" s="7"/>
      <c r="N1" s="8"/>
      <c r="O1" s="8"/>
    </row>
    <row r="2" spans="1:15" ht="18.75" x14ac:dyDescent="0.25">
      <c r="A2" s="1" t="s">
        <v>1</v>
      </c>
      <c r="B2" s="1"/>
      <c r="C2" s="1"/>
      <c r="D2" s="1"/>
      <c r="E2" s="6"/>
      <c r="F2" s="6"/>
      <c r="G2" s="6"/>
      <c r="H2" s="5"/>
      <c r="I2" s="6"/>
      <c r="J2" s="6"/>
      <c r="K2" s="7"/>
      <c r="L2" s="7"/>
      <c r="M2" s="7"/>
      <c r="N2" s="8"/>
      <c r="O2" s="8"/>
    </row>
    <row r="3" spans="1:15" ht="18.75" x14ac:dyDescent="0.25">
      <c r="A3" s="1" t="s">
        <v>150</v>
      </c>
      <c r="B3" s="1"/>
      <c r="C3" s="1"/>
      <c r="D3" s="1"/>
      <c r="E3" s="6"/>
      <c r="F3" s="6"/>
      <c r="G3" s="6"/>
      <c r="H3" s="5"/>
      <c r="I3" s="6"/>
      <c r="J3" s="6"/>
      <c r="K3" s="7"/>
      <c r="L3" s="7"/>
      <c r="M3" s="7"/>
      <c r="N3" s="8"/>
      <c r="O3" s="8"/>
    </row>
    <row r="4" spans="1:15" ht="18.75" x14ac:dyDescent="0.25">
      <c r="A4" s="1"/>
      <c r="B4" s="1"/>
      <c r="C4" s="1"/>
      <c r="D4" s="6"/>
      <c r="E4" s="6"/>
      <c r="F4" s="6"/>
      <c r="G4" s="6"/>
      <c r="H4" s="5"/>
      <c r="I4" s="6"/>
      <c r="J4" s="6"/>
      <c r="K4" s="7" t="s">
        <v>2</v>
      </c>
      <c r="L4" s="7"/>
      <c r="M4" s="7"/>
      <c r="N4" s="9"/>
      <c r="O4" s="9"/>
    </row>
    <row r="5" spans="1:15" ht="18.75" x14ac:dyDescent="0.25">
      <c r="A5" s="10"/>
      <c r="B5" s="10"/>
      <c r="C5" s="10"/>
      <c r="D5" s="9"/>
      <c r="E5" s="9"/>
      <c r="F5" s="9"/>
      <c r="G5" s="9"/>
      <c r="H5" s="11"/>
      <c r="I5" s="9"/>
      <c r="J5" s="9"/>
      <c r="K5" s="12" t="s">
        <v>3</v>
      </c>
      <c r="L5" s="12"/>
      <c r="M5" s="12"/>
      <c r="N5" s="9"/>
      <c r="O5" s="9"/>
    </row>
    <row r="6" spans="1:15" ht="18.75" x14ac:dyDescent="0.25">
      <c r="A6" s="10" t="s">
        <v>33</v>
      </c>
      <c r="B6" s="10"/>
      <c r="C6" s="10"/>
      <c r="D6" s="2"/>
      <c r="E6" s="2"/>
      <c r="F6" s="2"/>
      <c r="G6" s="2"/>
      <c r="H6" s="13"/>
      <c r="I6" s="2"/>
      <c r="J6" s="9" t="s">
        <v>4</v>
      </c>
      <c r="K6" s="12" t="s">
        <v>67</v>
      </c>
      <c r="L6" s="12"/>
      <c r="M6" s="12" t="s">
        <v>53</v>
      </c>
      <c r="N6" s="9"/>
      <c r="O6" s="9"/>
    </row>
    <row r="7" spans="1:15" ht="18.75" x14ac:dyDescent="0.25">
      <c r="A7" s="10"/>
      <c r="B7" s="10"/>
      <c r="C7" s="10"/>
      <c r="D7" s="2" t="s">
        <v>5</v>
      </c>
      <c r="E7" s="2"/>
      <c r="F7" s="2"/>
      <c r="G7" s="2"/>
      <c r="H7" s="13"/>
      <c r="I7" s="2"/>
      <c r="J7" s="9" t="s">
        <v>6</v>
      </c>
      <c r="K7" s="14" t="s">
        <v>52</v>
      </c>
      <c r="L7" s="14"/>
      <c r="M7" s="14" t="s">
        <v>54</v>
      </c>
      <c r="N7" s="9"/>
      <c r="O7" s="9"/>
    </row>
    <row r="8" spans="1:15" ht="18.75" x14ac:dyDescent="0.25">
      <c r="A8" s="10"/>
      <c r="B8" s="15"/>
      <c r="C8" s="10"/>
      <c r="D8" s="16"/>
      <c r="E8" s="9"/>
      <c r="F8" s="9"/>
      <c r="G8" s="9"/>
      <c r="H8" s="11"/>
      <c r="I8" s="9"/>
      <c r="J8" s="9"/>
      <c r="K8" s="12"/>
      <c r="L8" s="12"/>
      <c r="M8" s="12"/>
      <c r="N8" s="9"/>
      <c r="O8" s="9"/>
    </row>
    <row r="9" spans="1:15" ht="35.25" x14ac:dyDescent="0.25">
      <c r="A9" s="1" t="s">
        <v>7</v>
      </c>
      <c r="B9" s="1" t="s">
        <v>8</v>
      </c>
      <c r="C9" s="1" t="s">
        <v>9</v>
      </c>
      <c r="D9" s="17" t="s">
        <v>10</v>
      </c>
      <c r="E9" s="18" t="s">
        <v>11</v>
      </c>
      <c r="F9" s="18" t="s">
        <v>12</v>
      </c>
      <c r="G9" s="18" t="s">
        <v>13</v>
      </c>
      <c r="H9" s="5" t="s">
        <v>14</v>
      </c>
      <c r="I9" s="19" t="s">
        <v>15</v>
      </c>
      <c r="J9" s="6" t="s">
        <v>16</v>
      </c>
      <c r="K9" s="1" t="s">
        <v>17</v>
      </c>
      <c r="L9" s="1" t="s">
        <v>18</v>
      </c>
      <c r="M9" s="1" t="s">
        <v>19</v>
      </c>
      <c r="N9" s="6" t="s">
        <v>20</v>
      </c>
      <c r="O9" s="6" t="s">
        <v>21</v>
      </c>
    </row>
    <row r="10" spans="1:15" ht="18.75" x14ac:dyDescent="0.25">
      <c r="A10" s="46">
        <v>11</v>
      </c>
      <c r="B10" s="2" t="s">
        <v>37</v>
      </c>
      <c r="C10" s="24" t="s">
        <v>38</v>
      </c>
      <c r="D10" s="27"/>
      <c r="E10" s="27">
        <v>25000</v>
      </c>
      <c r="F10" s="27">
        <v>750</v>
      </c>
      <c r="G10" s="27">
        <v>200</v>
      </c>
      <c r="H10" s="20">
        <f>AUGUST!O10</f>
        <v>0</v>
      </c>
      <c r="I10" s="21">
        <f>D10+E10+F10+G10+H10</f>
        <v>25950</v>
      </c>
      <c r="J10" s="30">
        <f>25000</f>
        <v>25000</v>
      </c>
      <c r="K10" s="28" t="s">
        <v>95</v>
      </c>
      <c r="L10" s="55" t="s">
        <v>96</v>
      </c>
      <c r="M10" s="22" t="s">
        <v>89</v>
      </c>
      <c r="N10" s="23">
        <f t="shared" ref="N10:N18" si="0">I10-J10</f>
        <v>950</v>
      </c>
      <c r="O10" s="25"/>
    </row>
    <row r="11" spans="1:15" ht="18.75" x14ac:dyDescent="0.25">
      <c r="A11" s="46">
        <v>12</v>
      </c>
      <c r="B11" s="2" t="s">
        <v>45</v>
      </c>
      <c r="C11" s="24" t="s">
        <v>46</v>
      </c>
      <c r="D11" s="27"/>
      <c r="E11" s="27">
        <v>35000</v>
      </c>
      <c r="F11" s="27">
        <v>300</v>
      </c>
      <c r="G11" s="27">
        <v>200</v>
      </c>
      <c r="H11" s="20">
        <f>AUGUST!O11</f>
        <v>-55000</v>
      </c>
      <c r="I11" s="21">
        <f t="shared" ref="I11:I33" si="1">D11+E11+F11+G11+H11</f>
        <v>-19500</v>
      </c>
      <c r="J11" s="30"/>
      <c r="K11" s="28"/>
      <c r="L11" s="29"/>
      <c r="M11" s="22" t="s">
        <v>89</v>
      </c>
      <c r="N11" s="23">
        <f t="shared" si="0"/>
        <v>-19500</v>
      </c>
      <c r="O11" s="25"/>
    </row>
    <row r="12" spans="1:15" ht="18.75" x14ac:dyDescent="0.25">
      <c r="A12" s="46">
        <v>13</v>
      </c>
      <c r="B12" s="2" t="s">
        <v>84</v>
      </c>
      <c r="C12" s="24" t="s">
        <v>83</v>
      </c>
      <c r="D12" s="27"/>
      <c r="E12" s="27">
        <v>35000</v>
      </c>
      <c r="F12" s="27">
        <v>450</v>
      </c>
      <c r="G12" s="27">
        <v>200</v>
      </c>
      <c r="H12" s="20">
        <f>AUGUST!O12</f>
        <v>32000</v>
      </c>
      <c r="I12" s="21">
        <f t="shared" si="1"/>
        <v>67650</v>
      </c>
      <c r="J12" s="30">
        <f>2000+65000</f>
        <v>67000</v>
      </c>
      <c r="K12" s="28" t="s">
        <v>94</v>
      </c>
      <c r="L12" s="55" t="s">
        <v>97</v>
      </c>
      <c r="M12" s="22" t="s">
        <v>89</v>
      </c>
      <c r="N12" s="23">
        <f t="shared" si="0"/>
        <v>650</v>
      </c>
      <c r="O12" s="25"/>
    </row>
    <row r="13" spans="1:15" ht="18.75" x14ac:dyDescent="0.25">
      <c r="A13" s="46">
        <v>14</v>
      </c>
      <c r="B13" s="2" t="s">
        <v>69</v>
      </c>
      <c r="C13" s="24" t="s">
        <v>80</v>
      </c>
      <c r="D13" s="27"/>
      <c r="E13" s="27">
        <v>35000</v>
      </c>
      <c r="F13" s="27">
        <v>600</v>
      </c>
      <c r="G13" s="27">
        <v>200</v>
      </c>
      <c r="H13" s="20">
        <f>AUGUST!O13</f>
        <v>-13000</v>
      </c>
      <c r="I13" s="21">
        <f t="shared" si="1"/>
        <v>22800</v>
      </c>
      <c r="J13" s="30">
        <f>35800</f>
        <v>35800</v>
      </c>
      <c r="K13" s="28" t="s">
        <v>90</v>
      </c>
      <c r="L13" s="29">
        <v>46270</v>
      </c>
      <c r="M13" s="22" t="s">
        <v>89</v>
      </c>
      <c r="N13" s="23">
        <f t="shared" si="0"/>
        <v>-13000</v>
      </c>
      <c r="O13" s="25"/>
    </row>
    <row r="14" spans="1:15" ht="18.75" x14ac:dyDescent="0.25">
      <c r="A14" s="46">
        <v>15</v>
      </c>
      <c r="B14" s="2" t="s">
        <v>57</v>
      </c>
      <c r="C14" s="24" t="s">
        <v>75</v>
      </c>
      <c r="D14" s="27"/>
      <c r="E14" s="27">
        <v>35000</v>
      </c>
      <c r="F14" s="27">
        <v>3300</v>
      </c>
      <c r="G14" s="27">
        <v>200</v>
      </c>
      <c r="H14" s="20">
        <f>AUGUST!O14</f>
        <v>-200</v>
      </c>
      <c r="I14" s="21">
        <f t="shared" si="1"/>
        <v>38300</v>
      </c>
      <c r="J14" s="30">
        <f>35000</f>
        <v>35000</v>
      </c>
      <c r="K14" s="28" t="s">
        <v>91</v>
      </c>
      <c r="L14" s="29">
        <v>46270</v>
      </c>
      <c r="M14" s="22" t="s">
        <v>89</v>
      </c>
      <c r="N14" s="23">
        <f t="shared" si="0"/>
        <v>3300</v>
      </c>
      <c r="O14" s="25"/>
    </row>
    <row r="15" spans="1:15" ht="18.75" x14ac:dyDescent="0.25">
      <c r="A15" s="46">
        <v>16</v>
      </c>
      <c r="B15" s="2" t="s">
        <v>39</v>
      </c>
      <c r="C15" s="24" t="s">
        <v>40</v>
      </c>
      <c r="D15" s="27"/>
      <c r="E15" s="27">
        <v>35000</v>
      </c>
      <c r="F15" s="27">
        <v>900</v>
      </c>
      <c r="G15" s="27">
        <v>200</v>
      </c>
      <c r="H15" s="20">
        <f>AUGUST!O15</f>
        <v>0</v>
      </c>
      <c r="I15" s="21">
        <f t="shared" si="1"/>
        <v>36100</v>
      </c>
      <c r="J15" s="30">
        <v>36100</v>
      </c>
      <c r="K15" s="28" t="s">
        <v>131</v>
      </c>
      <c r="L15" s="29" t="s">
        <v>132</v>
      </c>
      <c r="M15" s="22" t="s">
        <v>89</v>
      </c>
      <c r="N15" s="23">
        <f t="shared" si="0"/>
        <v>0</v>
      </c>
      <c r="O15" s="25"/>
    </row>
    <row r="16" spans="1:15" ht="18.75" x14ac:dyDescent="0.25">
      <c r="A16" s="46">
        <v>17</v>
      </c>
      <c r="B16" s="58" t="s">
        <v>74</v>
      </c>
      <c r="C16" s="24"/>
      <c r="D16" s="27"/>
      <c r="E16" s="27">
        <v>0</v>
      </c>
      <c r="F16" s="27">
        <v>0</v>
      </c>
      <c r="G16" s="27"/>
      <c r="H16" s="20"/>
      <c r="I16" s="21">
        <f t="shared" si="1"/>
        <v>0</v>
      </c>
      <c r="J16" s="30"/>
      <c r="K16" s="28"/>
      <c r="L16" s="29"/>
      <c r="M16" s="22" t="s">
        <v>89</v>
      </c>
      <c r="N16" s="23">
        <f t="shared" si="0"/>
        <v>0</v>
      </c>
      <c r="O16" s="25"/>
    </row>
    <row r="17" spans="1:15" ht="18.75" x14ac:dyDescent="0.25">
      <c r="A17" s="46">
        <v>18</v>
      </c>
      <c r="B17" s="2" t="s">
        <v>49</v>
      </c>
      <c r="C17" s="24" t="s">
        <v>50</v>
      </c>
      <c r="D17" s="27"/>
      <c r="E17" s="27">
        <v>37000</v>
      </c>
      <c r="F17" s="27">
        <v>600</v>
      </c>
      <c r="G17" s="27">
        <v>200</v>
      </c>
      <c r="H17" s="20">
        <f>AUGUST!O17</f>
        <v>0</v>
      </c>
      <c r="I17" s="21">
        <f t="shared" si="1"/>
        <v>37800</v>
      </c>
      <c r="J17" s="30">
        <f>3000+24000</f>
        <v>27000</v>
      </c>
      <c r="K17" s="28" t="s">
        <v>130</v>
      </c>
      <c r="L17" s="29" t="s">
        <v>116</v>
      </c>
      <c r="M17" s="22" t="s">
        <v>89</v>
      </c>
      <c r="N17" s="23">
        <f t="shared" si="0"/>
        <v>10800</v>
      </c>
      <c r="O17" s="25"/>
    </row>
    <row r="18" spans="1:15" ht="18.75" x14ac:dyDescent="0.25">
      <c r="A18" s="47">
        <v>21</v>
      </c>
      <c r="B18" s="2" t="s">
        <v>133</v>
      </c>
      <c r="C18" s="24" t="s">
        <v>134</v>
      </c>
      <c r="D18" s="27">
        <v>27000</v>
      </c>
      <c r="E18" s="27">
        <v>0</v>
      </c>
      <c r="F18" s="27">
        <v>0</v>
      </c>
      <c r="G18" s="27"/>
      <c r="H18" s="20">
        <v>0</v>
      </c>
      <c r="I18" s="21">
        <f t="shared" si="1"/>
        <v>27000</v>
      </c>
      <c r="J18" s="30">
        <v>52000</v>
      </c>
      <c r="K18" s="28" t="s">
        <v>100</v>
      </c>
      <c r="L18" s="29" t="s">
        <v>122</v>
      </c>
      <c r="M18" s="22" t="s">
        <v>89</v>
      </c>
      <c r="N18" s="23">
        <f t="shared" si="0"/>
        <v>-25000</v>
      </c>
      <c r="O18" s="25" t="s">
        <v>147</v>
      </c>
    </row>
    <row r="19" spans="1:15" ht="18.75" x14ac:dyDescent="0.25">
      <c r="A19" s="47">
        <v>22</v>
      </c>
      <c r="B19" s="2" t="s">
        <v>44</v>
      </c>
      <c r="C19" s="24" t="s">
        <v>66</v>
      </c>
      <c r="D19" s="27"/>
      <c r="E19" s="27">
        <v>35000</v>
      </c>
      <c r="F19" s="27">
        <v>1500</v>
      </c>
      <c r="G19" s="27">
        <v>200</v>
      </c>
      <c r="H19" s="20">
        <f>AUGUST!O19</f>
        <v>-5000</v>
      </c>
      <c r="I19" s="21">
        <f t="shared" si="1"/>
        <v>31700</v>
      </c>
      <c r="J19" s="56">
        <v>35000</v>
      </c>
      <c r="K19" s="57" t="s">
        <v>145</v>
      </c>
      <c r="L19" s="29" t="s">
        <v>146</v>
      </c>
      <c r="M19" s="22" t="s">
        <v>89</v>
      </c>
      <c r="N19" s="23">
        <f>I19-OCTOBER!J19</f>
        <v>-3300</v>
      </c>
      <c r="O19" s="25"/>
    </row>
    <row r="20" spans="1:15" ht="18.75" x14ac:dyDescent="0.25">
      <c r="A20" s="47">
        <v>23</v>
      </c>
      <c r="B20" s="2" t="s">
        <v>92</v>
      </c>
      <c r="C20" s="24" t="s">
        <v>76</v>
      </c>
      <c r="D20" s="27"/>
      <c r="E20" s="27">
        <v>35000</v>
      </c>
      <c r="F20" s="27">
        <v>300</v>
      </c>
      <c r="G20" s="27">
        <v>200</v>
      </c>
      <c r="H20" s="20">
        <f>AUGUST!O20</f>
        <v>-35000</v>
      </c>
      <c r="I20" s="21">
        <f t="shared" si="1"/>
        <v>500</v>
      </c>
      <c r="J20" s="30"/>
      <c r="K20" s="28"/>
      <c r="L20" s="29"/>
      <c r="M20" s="22" t="s">
        <v>89</v>
      </c>
      <c r="N20" s="23">
        <f t="shared" ref="N20:N33" si="2">I20-J20</f>
        <v>500</v>
      </c>
      <c r="O20" s="25"/>
    </row>
    <row r="21" spans="1:15" ht="18.75" x14ac:dyDescent="0.25">
      <c r="A21" s="47">
        <v>24</v>
      </c>
      <c r="B21" s="2" t="s">
        <v>103</v>
      </c>
      <c r="C21" s="24" t="s">
        <v>129</v>
      </c>
      <c r="D21" s="27">
        <v>37000</v>
      </c>
      <c r="E21" s="27">
        <v>0</v>
      </c>
      <c r="F21" s="27"/>
      <c r="G21" s="27"/>
      <c r="H21" s="20">
        <f>AUGUST!O21</f>
        <v>0</v>
      </c>
      <c r="I21" s="21">
        <f t="shared" si="1"/>
        <v>37000</v>
      </c>
      <c r="J21" s="30">
        <v>10000</v>
      </c>
      <c r="K21" s="28" t="s">
        <v>119</v>
      </c>
      <c r="L21" s="29" t="s">
        <v>120</v>
      </c>
      <c r="M21" s="22" t="s">
        <v>89</v>
      </c>
      <c r="N21" s="23">
        <f t="shared" si="2"/>
        <v>27000</v>
      </c>
      <c r="O21" s="25" t="s">
        <v>147</v>
      </c>
    </row>
    <row r="22" spans="1:15" ht="18.75" x14ac:dyDescent="0.25">
      <c r="A22" s="47">
        <v>25</v>
      </c>
      <c r="B22" s="2" t="s">
        <v>36</v>
      </c>
      <c r="C22" s="24" t="s">
        <v>82</v>
      </c>
      <c r="D22" s="27"/>
      <c r="E22" s="27">
        <v>35000</v>
      </c>
      <c r="F22" s="27">
        <v>2100</v>
      </c>
      <c r="G22" s="27">
        <v>200</v>
      </c>
      <c r="H22" s="20">
        <f>AUGUST!O22</f>
        <v>0</v>
      </c>
      <c r="I22" s="21">
        <f t="shared" si="1"/>
        <v>37300</v>
      </c>
      <c r="J22" s="30">
        <f>35000+2100</f>
        <v>37100</v>
      </c>
      <c r="K22" s="28" t="s">
        <v>143</v>
      </c>
      <c r="L22" s="29" t="s">
        <v>144</v>
      </c>
      <c r="M22" s="22" t="s">
        <v>89</v>
      </c>
      <c r="N22" s="23">
        <f t="shared" si="2"/>
        <v>200</v>
      </c>
      <c r="O22" s="25"/>
    </row>
    <row r="23" spans="1:15" ht="18.75" x14ac:dyDescent="0.25">
      <c r="A23" s="47">
        <v>26</v>
      </c>
      <c r="B23" s="2" t="s">
        <v>42</v>
      </c>
      <c r="C23" s="24" t="s">
        <v>43</v>
      </c>
      <c r="D23" s="27"/>
      <c r="E23" s="27">
        <v>35000</v>
      </c>
      <c r="F23" s="27">
        <v>1650</v>
      </c>
      <c r="G23" s="27">
        <v>200</v>
      </c>
      <c r="H23" s="20">
        <f>AUGUST!O23</f>
        <v>0</v>
      </c>
      <c r="I23" s="21">
        <f t="shared" si="1"/>
        <v>36850</v>
      </c>
      <c r="J23" s="30">
        <v>35000</v>
      </c>
      <c r="K23" s="28" t="s">
        <v>138</v>
      </c>
      <c r="L23" s="29" t="s">
        <v>139</v>
      </c>
      <c r="M23" s="22" t="s">
        <v>89</v>
      </c>
      <c r="N23" s="23">
        <f t="shared" si="2"/>
        <v>1850</v>
      </c>
      <c r="O23" s="25"/>
    </row>
    <row r="24" spans="1:15" ht="18.75" x14ac:dyDescent="0.25">
      <c r="A24" s="47">
        <v>27</v>
      </c>
      <c r="B24" s="2" t="s">
        <v>47</v>
      </c>
      <c r="C24" s="24" t="s">
        <v>48</v>
      </c>
      <c r="D24" s="27"/>
      <c r="E24" s="27">
        <v>35000</v>
      </c>
      <c r="F24" s="27">
        <v>1200</v>
      </c>
      <c r="G24" s="27">
        <v>200</v>
      </c>
      <c r="H24" s="20">
        <f>AUGUST!O24</f>
        <v>0</v>
      </c>
      <c r="I24" s="21">
        <f t="shared" si="1"/>
        <v>36400</v>
      </c>
      <c r="J24" s="30">
        <v>36400</v>
      </c>
      <c r="K24" s="28" t="s">
        <v>127</v>
      </c>
      <c r="L24" s="29"/>
      <c r="M24" s="22" t="s">
        <v>89</v>
      </c>
      <c r="N24" s="23">
        <f t="shared" si="2"/>
        <v>0</v>
      </c>
      <c r="O24" s="25"/>
    </row>
    <row r="25" spans="1:15" ht="18.75" x14ac:dyDescent="0.25">
      <c r="A25" s="47">
        <v>28</v>
      </c>
      <c r="B25" s="47" t="s">
        <v>74</v>
      </c>
      <c r="C25" s="24"/>
      <c r="D25" s="27"/>
      <c r="E25" s="27">
        <v>0</v>
      </c>
      <c r="F25" s="27">
        <v>0</v>
      </c>
      <c r="G25" s="27"/>
      <c r="H25" s="20">
        <f>AUGUST!O25</f>
        <v>0</v>
      </c>
      <c r="I25" s="21">
        <f>D25+E25+F25+G25+H25</f>
        <v>0</v>
      </c>
      <c r="J25" s="30"/>
      <c r="K25" s="28"/>
      <c r="L25" s="29"/>
      <c r="M25" s="22" t="s">
        <v>89</v>
      </c>
      <c r="N25" s="23">
        <f t="shared" si="2"/>
        <v>0</v>
      </c>
      <c r="O25" s="25"/>
    </row>
    <row r="26" spans="1:15" ht="18.75" x14ac:dyDescent="0.25">
      <c r="A26" s="51">
        <v>31</v>
      </c>
      <c r="B26" s="2" t="s">
        <v>104</v>
      </c>
      <c r="C26" s="24"/>
      <c r="D26" s="27">
        <v>27000</v>
      </c>
      <c r="E26" s="27">
        <v>0</v>
      </c>
      <c r="F26" s="27">
        <v>0</v>
      </c>
      <c r="G26" s="27"/>
      <c r="H26" s="20">
        <v>0</v>
      </c>
      <c r="I26" s="21">
        <f>D26+E26+F26+G26+H26</f>
        <v>27000</v>
      </c>
      <c r="J26" s="30">
        <f>25000+10000</f>
        <v>35000</v>
      </c>
      <c r="K26" s="28" t="s">
        <v>125</v>
      </c>
      <c r="L26" s="29" t="s">
        <v>126</v>
      </c>
      <c r="M26" s="22" t="s">
        <v>89</v>
      </c>
      <c r="N26" s="23">
        <f t="shared" si="2"/>
        <v>-8000</v>
      </c>
      <c r="O26" s="25" t="s">
        <v>147</v>
      </c>
    </row>
    <row r="27" spans="1:15" ht="18.75" x14ac:dyDescent="0.25">
      <c r="A27" s="51">
        <v>32</v>
      </c>
      <c r="B27" s="2" t="s">
        <v>61</v>
      </c>
      <c r="C27" s="24" t="s">
        <v>101</v>
      </c>
      <c r="D27" s="27"/>
      <c r="E27" s="27">
        <v>0</v>
      </c>
      <c r="F27" s="27">
        <v>0</v>
      </c>
      <c r="G27" s="27"/>
      <c r="H27" s="20">
        <v>22000</v>
      </c>
      <c r="I27" s="21">
        <f t="shared" si="1"/>
        <v>22000</v>
      </c>
      <c r="J27" s="30"/>
      <c r="K27" s="28"/>
      <c r="L27" s="29"/>
      <c r="M27" s="22" t="s">
        <v>89</v>
      </c>
      <c r="N27" s="23">
        <f t="shared" si="2"/>
        <v>22000</v>
      </c>
      <c r="O27" s="25" t="s">
        <v>147</v>
      </c>
    </row>
    <row r="28" spans="1:15" ht="18.75" x14ac:dyDescent="0.25">
      <c r="A28" s="51">
        <v>33</v>
      </c>
      <c r="B28" s="2" t="s">
        <v>105</v>
      </c>
      <c r="C28" s="24" t="s">
        <v>148</v>
      </c>
      <c r="D28" s="27">
        <v>37000</v>
      </c>
      <c r="E28" s="27">
        <v>0</v>
      </c>
      <c r="F28" s="27">
        <v>0</v>
      </c>
      <c r="G28" s="27"/>
      <c r="H28" s="20">
        <v>0</v>
      </c>
      <c r="I28" s="21">
        <f t="shared" si="1"/>
        <v>37000</v>
      </c>
      <c r="J28" s="30">
        <v>35000</v>
      </c>
      <c r="K28" s="28" t="s">
        <v>149</v>
      </c>
      <c r="L28" s="29" t="s">
        <v>116</v>
      </c>
      <c r="M28" s="22" t="s">
        <v>89</v>
      </c>
      <c r="N28" s="23">
        <f t="shared" si="2"/>
        <v>2000</v>
      </c>
      <c r="O28" s="25" t="s">
        <v>147</v>
      </c>
    </row>
    <row r="29" spans="1:15" ht="18.75" x14ac:dyDescent="0.25">
      <c r="A29" s="51">
        <v>34</v>
      </c>
      <c r="B29" s="2" t="s">
        <v>98</v>
      </c>
      <c r="C29" s="24" t="s">
        <v>99</v>
      </c>
      <c r="D29" s="27">
        <f>35000+2000</f>
        <v>37000</v>
      </c>
      <c r="E29" s="27">
        <v>0</v>
      </c>
      <c r="F29" s="27">
        <v>0</v>
      </c>
      <c r="G29" s="27">
        <v>0</v>
      </c>
      <c r="H29" s="20">
        <v>0</v>
      </c>
      <c r="I29" s="21">
        <f t="shared" si="1"/>
        <v>37000</v>
      </c>
      <c r="J29" s="30">
        <v>35000</v>
      </c>
      <c r="K29" s="28" t="s">
        <v>135</v>
      </c>
      <c r="L29" s="29" t="s">
        <v>122</v>
      </c>
      <c r="M29" s="22" t="s">
        <v>89</v>
      </c>
      <c r="N29" s="23">
        <f t="shared" si="2"/>
        <v>2000</v>
      </c>
      <c r="O29" s="25" t="s">
        <v>147</v>
      </c>
    </row>
    <row r="30" spans="1:15" ht="18.75" x14ac:dyDescent="0.25">
      <c r="A30" s="51">
        <v>35</v>
      </c>
      <c r="B30" s="2" t="s">
        <v>106</v>
      </c>
      <c r="C30" s="24" t="s">
        <v>109</v>
      </c>
      <c r="D30" s="27">
        <v>37000</v>
      </c>
      <c r="E30" s="27">
        <v>0</v>
      </c>
      <c r="F30" s="27">
        <v>0</v>
      </c>
      <c r="G30" s="27"/>
      <c r="H30" s="20">
        <v>0</v>
      </c>
      <c r="I30" s="21">
        <f t="shared" si="1"/>
        <v>37000</v>
      </c>
      <c r="J30" s="30">
        <v>72000</v>
      </c>
      <c r="K30" s="28" t="s">
        <v>117</v>
      </c>
      <c r="L30" s="29" t="s">
        <v>118</v>
      </c>
      <c r="M30" s="22" t="s">
        <v>89</v>
      </c>
      <c r="N30" s="23">
        <f t="shared" si="2"/>
        <v>-35000</v>
      </c>
      <c r="O30" s="25" t="s">
        <v>147</v>
      </c>
    </row>
    <row r="31" spans="1:15" ht="18.75" x14ac:dyDescent="0.25">
      <c r="A31" s="51">
        <v>36</v>
      </c>
      <c r="B31" s="2" t="s">
        <v>110</v>
      </c>
      <c r="C31" s="24" t="s">
        <v>111</v>
      </c>
      <c r="D31" s="27">
        <v>37000</v>
      </c>
      <c r="E31" s="27">
        <v>0</v>
      </c>
      <c r="F31" s="27">
        <v>0</v>
      </c>
      <c r="G31" s="27"/>
      <c r="H31" s="20">
        <v>0</v>
      </c>
      <c r="I31" s="21">
        <f t="shared" si="1"/>
        <v>37000</v>
      </c>
      <c r="J31" s="30">
        <v>10000</v>
      </c>
      <c r="K31" s="28" t="s">
        <v>115</v>
      </c>
      <c r="L31" s="29" t="s">
        <v>116</v>
      </c>
      <c r="M31" s="22" t="s">
        <v>89</v>
      </c>
      <c r="N31" s="23">
        <f t="shared" si="2"/>
        <v>27000</v>
      </c>
      <c r="O31" s="25" t="s">
        <v>147</v>
      </c>
    </row>
    <row r="32" spans="1:15" ht="18.75" x14ac:dyDescent="0.25">
      <c r="A32" s="51">
        <v>37</v>
      </c>
      <c r="B32" s="2" t="s">
        <v>107</v>
      </c>
      <c r="C32" s="24" t="s">
        <v>108</v>
      </c>
      <c r="D32" s="27">
        <v>37000</v>
      </c>
      <c r="E32" s="27">
        <v>0</v>
      </c>
      <c r="F32" s="27">
        <v>0</v>
      </c>
      <c r="G32" s="27"/>
      <c r="H32" s="20">
        <v>0</v>
      </c>
      <c r="I32" s="21">
        <f t="shared" si="1"/>
        <v>37000</v>
      </c>
      <c r="J32" s="30">
        <v>250000</v>
      </c>
      <c r="K32" s="28" t="s">
        <v>121</v>
      </c>
      <c r="L32" s="29" t="s">
        <v>120</v>
      </c>
      <c r="M32" s="22" t="s">
        <v>89</v>
      </c>
      <c r="N32" s="23">
        <f t="shared" si="2"/>
        <v>-213000</v>
      </c>
      <c r="O32" s="25" t="s">
        <v>147</v>
      </c>
    </row>
    <row r="33" spans="1:15" ht="18.75" x14ac:dyDescent="0.25">
      <c r="A33" s="51">
        <v>38</v>
      </c>
      <c r="B33" s="51" t="s">
        <v>74</v>
      </c>
      <c r="C33" s="24"/>
      <c r="D33" s="27"/>
      <c r="E33" s="27">
        <v>0</v>
      </c>
      <c r="F33" s="27">
        <v>0</v>
      </c>
      <c r="G33" s="27"/>
      <c r="H33" s="20">
        <v>0</v>
      </c>
      <c r="I33" s="21">
        <f t="shared" si="1"/>
        <v>0</v>
      </c>
      <c r="J33" s="30"/>
      <c r="K33" s="28"/>
      <c r="L33" s="29"/>
      <c r="M33" s="22" t="s">
        <v>89</v>
      </c>
      <c r="N33" s="23">
        <f t="shared" si="2"/>
        <v>0</v>
      </c>
      <c r="O33" s="25"/>
    </row>
    <row r="34" spans="1:15" ht="18.75" x14ac:dyDescent="0.25">
      <c r="A34" s="32" t="s">
        <v>23</v>
      </c>
      <c r="B34" s="2"/>
      <c r="C34" s="31"/>
      <c r="D34" s="52">
        <f t="shared" ref="D34:H34" si="3">SUM(D10:D33)</f>
        <v>276000</v>
      </c>
      <c r="E34" s="53">
        <f t="shared" si="3"/>
        <v>412000</v>
      </c>
      <c r="F34" s="53">
        <f t="shared" si="3"/>
        <v>13650</v>
      </c>
      <c r="G34" s="53">
        <f t="shared" si="3"/>
        <v>2400</v>
      </c>
      <c r="H34" s="53">
        <f t="shared" si="3"/>
        <v>-54200</v>
      </c>
      <c r="I34" s="53">
        <f>SUM(I10:I33)</f>
        <v>649850</v>
      </c>
      <c r="J34" s="53">
        <f>SUM(J10:J33)</f>
        <v>868400</v>
      </c>
      <c r="K34" s="53"/>
      <c r="L34" s="53"/>
      <c r="M34" s="53"/>
      <c r="N34" s="53">
        <f>SUM(N10:N33)</f>
        <v>-218550</v>
      </c>
      <c r="O34" s="34"/>
    </row>
    <row r="35" spans="1:15" ht="18.75" x14ac:dyDescent="0.25">
      <c r="A35" s="36" t="s">
        <v>24</v>
      </c>
      <c r="B35" s="2"/>
      <c r="C35" s="31"/>
      <c r="D35" s="33"/>
      <c r="E35" s="34"/>
      <c r="F35" s="34"/>
      <c r="G35" s="34"/>
      <c r="H35" s="35"/>
      <c r="I35" s="34"/>
      <c r="J35" s="34"/>
      <c r="K35" s="1"/>
      <c r="L35" s="1"/>
      <c r="M35" s="1"/>
      <c r="N35" s="34"/>
      <c r="O35" s="34"/>
    </row>
    <row r="36" spans="1:15" ht="18.75" x14ac:dyDescent="0.25">
      <c r="A36" s="2" t="s">
        <v>25</v>
      </c>
      <c r="B36" s="2"/>
      <c r="C36" s="31"/>
      <c r="D36" s="2"/>
      <c r="E36" s="2"/>
      <c r="F36" s="2"/>
      <c r="G36" s="2"/>
      <c r="H36" s="13"/>
      <c r="I36" s="2"/>
      <c r="J36" s="54">
        <f>5%*J34</f>
        <v>43420</v>
      </c>
      <c r="K36" s="2"/>
      <c r="L36" s="2"/>
      <c r="M36" s="2"/>
      <c r="N36" s="2"/>
      <c r="O36" s="10"/>
    </row>
    <row r="37" spans="1:15" ht="21" x14ac:dyDescent="0.4">
      <c r="A37" s="10" t="s">
        <v>26</v>
      </c>
      <c r="B37" s="10"/>
      <c r="C37" s="10"/>
      <c r="D37" s="10"/>
      <c r="E37" s="10"/>
      <c r="F37" s="10"/>
      <c r="G37" s="10"/>
      <c r="H37" s="37"/>
      <c r="I37" s="10"/>
      <c r="J37" s="38">
        <f>SUM(J36:J36)</f>
        <v>43420</v>
      </c>
      <c r="K37" s="10"/>
      <c r="L37" s="10"/>
      <c r="M37" s="2"/>
      <c r="N37" s="10"/>
      <c r="O37" s="10"/>
    </row>
    <row r="38" spans="1:15" ht="18.75" x14ac:dyDescent="0.25">
      <c r="A38" s="2" t="s">
        <v>27</v>
      </c>
      <c r="B38" s="2"/>
      <c r="C38" s="2"/>
      <c r="D38" s="2"/>
      <c r="E38" s="2"/>
      <c r="F38" s="2"/>
      <c r="G38" s="2"/>
      <c r="H38" s="13"/>
      <c r="I38" s="2"/>
      <c r="J38" s="39"/>
      <c r="K38" s="40" t="s">
        <v>28</v>
      </c>
      <c r="L38" s="40"/>
      <c r="M38" s="40" t="s">
        <v>29</v>
      </c>
      <c r="N38" s="40" t="s">
        <v>30</v>
      </c>
      <c r="O38" s="2"/>
    </row>
    <row r="39" spans="1:15" ht="19.5" thickBot="1" x14ac:dyDescent="0.3">
      <c r="A39" s="1" t="s">
        <v>31</v>
      </c>
      <c r="B39" s="1"/>
      <c r="C39" s="1"/>
      <c r="D39" s="1"/>
      <c r="E39" s="1"/>
      <c r="F39" s="1"/>
      <c r="G39" s="1"/>
      <c r="H39" s="35"/>
      <c r="I39" s="10"/>
      <c r="J39" s="41">
        <f>J37</f>
        <v>43420</v>
      </c>
      <c r="K39" s="37"/>
      <c r="L39" s="37"/>
      <c r="M39" s="37"/>
      <c r="N39" s="42">
        <f>J39+J38-K39-M39</f>
        <v>43420</v>
      </c>
      <c r="O39" s="2"/>
    </row>
    <row r="40" spans="1:15" ht="19.5" thickTop="1" x14ac:dyDescent="0.25">
      <c r="A40" s="2" t="s">
        <v>32</v>
      </c>
      <c r="B40" s="2"/>
      <c r="C40" s="2"/>
      <c r="D40" s="2"/>
      <c r="E40" s="2"/>
      <c r="F40" s="2"/>
      <c r="G40" s="2"/>
      <c r="H40" s="13"/>
      <c r="I40" s="2"/>
      <c r="J40" s="2"/>
      <c r="K40" s="2"/>
      <c r="L40" s="2"/>
      <c r="M40" s="2"/>
      <c r="N40" s="43" t="s">
        <v>88</v>
      </c>
      <c r="O40" s="44"/>
    </row>
    <row r="42" spans="1:15" x14ac:dyDescent="0.2">
      <c r="J42">
        <f>J34/I34*100</f>
        <v>133.63083788566593</v>
      </c>
    </row>
  </sheetData>
  <pageMargins left="0.25" right="0.25" top="0.75" bottom="0.75" header="0.3" footer="0.3"/>
  <pageSetup paperSize="3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DD6B-C1BC-4143-8AFF-D046E3E34F53}">
  <dimension ref="A1:P42"/>
  <sheetViews>
    <sheetView tabSelected="1" topLeftCell="K14" zoomScale="62" zoomScaleNormal="70" workbookViewId="0">
      <selection activeCell="L31" sqref="L31"/>
    </sheetView>
  </sheetViews>
  <sheetFormatPr defaultRowHeight="15" x14ac:dyDescent="0.2"/>
  <cols>
    <col min="2" max="2" width="27.84375" customWidth="1"/>
    <col min="3" max="3" width="37.26171875" customWidth="1"/>
    <col min="4" max="4" width="20.71484375" customWidth="1"/>
    <col min="5" max="5" width="17.08203125" customWidth="1"/>
    <col min="6" max="6" width="16.6796875" customWidth="1"/>
    <col min="7" max="7" width="16.27734375" customWidth="1"/>
    <col min="8" max="8" width="13.98828125" customWidth="1"/>
    <col min="9" max="9" width="20.3125" customWidth="1"/>
    <col min="10" max="10" width="17.890625" customWidth="1"/>
    <col min="11" max="11" width="43.98828125" customWidth="1"/>
    <col min="12" max="12" width="30.53515625" customWidth="1"/>
    <col min="13" max="13" width="17.75390625" customWidth="1"/>
    <col min="14" max="14" width="20.4453125" customWidth="1"/>
    <col min="15" max="15" width="28.11328125" customWidth="1"/>
  </cols>
  <sheetData>
    <row r="1" spans="1:16" ht="18.75" x14ac:dyDescent="0.25">
      <c r="A1" s="1"/>
      <c r="B1" s="2"/>
      <c r="C1" s="3" t="s">
        <v>0</v>
      </c>
      <c r="D1" s="4"/>
      <c r="E1" s="2"/>
      <c r="F1" s="2"/>
      <c r="G1" s="2"/>
      <c r="H1" s="5"/>
      <c r="I1" s="6"/>
      <c r="J1" s="6"/>
      <c r="K1" s="7"/>
      <c r="L1" s="7"/>
      <c r="M1" s="7"/>
      <c r="N1" s="8"/>
      <c r="O1" s="8"/>
      <c r="P1" s="8"/>
    </row>
    <row r="2" spans="1:16" ht="18.75" x14ac:dyDescent="0.25">
      <c r="A2" s="1" t="s">
        <v>1</v>
      </c>
      <c r="B2" s="1"/>
      <c r="C2" s="1"/>
      <c r="D2" s="1"/>
      <c r="E2" s="6"/>
      <c r="F2" s="6"/>
      <c r="G2" s="6"/>
      <c r="H2" s="5"/>
      <c r="I2" s="6"/>
      <c r="J2" s="6"/>
      <c r="K2" s="7"/>
      <c r="L2" s="7"/>
      <c r="M2" s="7"/>
      <c r="N2" s="8"/>
      <c r="O2" s="8"/>
      <c r="P2" s="8"/>
    </row>
    <row r="3" spans="1:16" ht="18.75" x14ac:dyDescent="0.25">
      <c r="A3" s="59">
        <v>46266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1"/>
      <c r="P3" s="1"/>
    </row>
    <row r="4" spans="1:16" ht="18.75" x14ac:dyDescent="0.25">
      <c r="A4" s="1"/>
      <c r="B4" s="1"/>
      <c r="C4" s="1"/>
      <c r="D4" s="6"/>
      <c r="E4" s="6"/>
      <c r="F4" s="6"/>
      <c r="G4" s="6"/>
      <c r="H4" s="5"/>
      <c r="I4" s="6"/>
      <c r="J4" s="6"/>
      <c r="K4" s="7" t="s">
        <v>2</v>
      </c>
      <c r="L4" s="7"/>
      <c r="M4" s="7"/>
      <c r="N4" s="9"/>
      <c r="O4" s="9"/>
      <c r="P4" s="9"/>
    </row>
    <row r="5" spans="1:16" ht="18.75" x14ac:dyDescent="0.25">
      <c r="A5" s="10"/>
      <c r="B5" s="10"/>
      <c r="C5" s="10"/>
      <c r="D5" s="9"/>
      <c r="E5" s="9"/>
      <c r="F5" s="9"/>
      <c r="G5" s="9"/>
      <c r="H5" s="11"/>
      <c r="I5" s="9"/>
      <c r="J5" s="9"/>
      <c r="K5" s="12" t="s">
        <v>3</v>
      </c>
      <c r="L5" s="12"/>
      <c r="M5" s="12"/>
      <c r="N5" s="9"/>
      <c r="O5" s="9"/>
      <c r="P5" s="9"/>
    </row>
    <row r="6" spans="1:16" ht="18.75" x14ac:dyDescent="0.25">
      <c r="A6" s="10" t="s">
        <v>33</v>
      </c>
      <c r="B6" s="10"/>
      <c r="C6" s="10"/>
      <c r="D6" s="2"/>
      <c r="E6" s="2"/>
      <c r="F6" s="2"/>
      <c r="G6" s="2"/>
      <c r="H6" s="13"/>
      <c r="I6" s="2"/>
      <c r="J6" s="9" t="s">
        <v>4</v>
      </c>
      <c r="K6" s="12" t="s">
        <v>67</v>
      </c>
      <c r="L6" s="12"/>
      <c r="M6" s="12" t="s">
        <v>53</v>
      </c>
      <c r="N6" s="9"/>
      <c r="O6" s="9"/>
      <c r="P6" s="9"/>
    </row>
    <row r="7" spans="1:16" ht="18.75" x14ac:dyDescent="0.25">
      <c r="A7" s="10"/>
      <c r="B7" s="10"/>
      <c r="C7" s="10"/>
      <c r="D7" s="2" t="s">
        <v>5</v>
      </c>
      <c r="E7" s="2"/>
      <c r="F7" s="2"/>
      <c r="G7" s="2"/>
      <c r="H7" s="13"/>
      <c r="I7" s="2"/>
      <c r="J7" s="9" t="s">
        <v>6</v>
      </c>
      <c r="K7" s="14" t="s">
        <v>52</v>
      </c>
      <c r="L7" s="14"/>
      <c r="M7" s="14" t="s">
        <v>54</v>
      </c>
      <c r="N7" s="9"/>
      <c r="O7" s="9"/>
      <c r="P7" s="9"/>
    </row>
    <row r="8" spans="1:16" ht="18.75" x14ac:dyDescent="0.25">
      <c r="A8" s="10"/>
      <c r="B8" s="15"/>
      <c r="C8" s="10"/>
      <c r="D8" s="16"/>
      <c r="E8" s="9"/>
      <c r="F8" s="9"/>
      <c r="G8" s="9"/>
      <c r="H8" s="11"/>
      <c r="I8" s="9"/>
      <c r="J8" s="9"/>
      <c r="K8" s="12"/>
      <c r="L8" s="12"/>
      <c r="M8" s="12"/>
      <c r="N8" s="9"/>
      <c r="O8" s="9"/>
      <c r="P8" s="9"/>
    </row>
    <row r="9" spans="1:16" ht="35.25" x14ac:dyDescent="0.25">
      <c r="A9" s="1" t="s">
        <v>7</v>
      </c>
      <c r="B9" s="1" t="s">
        <v>8</v>
      </c>
      <c r="C9" s="1" t="s">
        <v>9</v>
      </c>
      <c r="D9" s="17" t="s">
        <v>10</v>
      </c>
      <c r="E9" s="18" t="s">
        <v>11</v>
      </c>
      <c r="F9" s="18" t="s">
        <v>12</v>
      </c>
      <c r="G9" s="18" t="s">
        <v>13</v>
      </c>
      <c r="H9" s="5" t="s">
        <v>14</v>
      </c>
      <c r="I9" s="19" t="s">
        <v>15</v>
      </c>
      <c r="J9" s="6" t="s">
        <v>16</v>
      </c>
      <c r="K9" s="1" t="s">
        <v>17</v>
      </c>
      <c r="L9" s="1" t="s">
        <v>18</v>
      </c>
      <c r="M9" s="1" t="s">
        <v>19</v>
      </c>
      <c r="N9" s="6" t="s">
        <v>20</v>
      </c>
      <c r="O9" s="6" t="s">
        <v>21</v>
      </c>
      <c r="P9" s="6" t="s">
        <v>22</v>
      </c>
    </row>
    <row r="10" spans="1:16" ht="18.75" x14ac:dyDescent="0.25">
      <c r="A10" s="46">
        <v>11</v>
      </c>
      <c r="B10" s="2" t="s">
        <v>37</v>
      </c>
      <c r="C10" s="24" t="s">
        <v>38</v>
      </c>
      <c r="D10" s="27"/>
      <c r="E10" s="27"/>
      <c r="F10" s="27">
        <v>750</v>
      </c>
      <c r="G10" s="27">
        <v>200</v>
      </c>
      <c r="H10" s="20">
        <f>SEPTEMBER!N10</f>
        <v>950</v>
      </c>
      <c r="I10" s="21">
        <f>D10+E10+F10+G10+H10</f>
        <v>1900</v>
      </c>
      <c r="J10" s="30"/>
      <c r="K10" s="28"/>
      <c r="L10" s="55"/>
      <c r="M10" s="22" t="s">
        <v>114</v>
      </c>
      <c r="N10" s="23">
        <f t="shared" ref="N10:N25" si="0">I10-J10</f>
        <v>1900</v>
      </c>
      <c r="O10" s="25" t="s">
        <v>128</v>
      </c>
      <c r="P10" s="26"/>
    </row>
    <row r="11" spans="1:16" ht="18.75" x14ac:dyDescent="0.25">
      <c r="A11" s="46">
        <v>12</v>
      </c>
      <c r="B11" s="2" t="s">
        <v>45</v>
      </c>
      <c r="C11" s="24" t="s">
        <v>46</v>
      </c>
      <c r="D11" s="27"/>
      <c r="E11" s="27">
        <v>35000</v>
      </c>
      <c r="F11" s="27">
        <v>450</v>
      </c>
      <c r="G11" s="27">
        <v>200</v>
      </c>
      <c r="H11" s="20">
        <f>SEPTEMBER!N11</f>
        <v>-19500</v>
      </c>
      <c r="I11" s="21">
        <f t="shared" ref="I11:I33" si="1">D11+E11+F11+G11+H11</f>
        <v>16150</v>
      </c>
      <c r="J11" s="30"/>
      <c r="K11" s="28"/>
      <c r="L11" s="29"/>
      <c r="M11" s="22" t="s">
        <v>114</v>
      </c>
      <c r="N11" s="23">
        <f t="shared" si="0"/>
        <v>16150</v>
      </c>
      <c r="O11" s="25"/>
      <c r="P11" s="26"/>
    </row>
    <row r="12" spans="1:16" ht="18.75" x14ac:dyDescent="0.25">
      <c r="A12" s="46">
        <v>13</v>
      </c>
      <c r="B12" s="2" t="s">
        <v>84</v>
      </c>
      <c r="C12" s="24" t="s">
        <v>83</v>
      </c>
      <c r="D12" s="27"/>
      <c r="E12" s="27">
        <v>35000</v>
      </c>
      <c r="F12" s="27">
        <v>1200</v>
      </c>
      <c r="G12" s="27">
        <v>200</v>
      </c>
      <c r="H12" s="20">
        <f>SEPTEMBER!N12</f>
        <v>650</v>
      </c>
      <c r="I12" s="21">
        <f t="shared" si="1"/>
        <v>37050</v>
      </c>
      <c r="J12" s="30"/>
      <c r="K12" s="28"/>
      <c r="L12" s="55"/>
      <c r="M12" s="22" t="s">
        <v>114</v>
      </c>
      <c r="N12" s="23">
        <v>67200</v>
      </c>
      <c r="O12" s="25"/>
      <c r="P12" s="26"/>
    </row>
    <row r="13" spans="1:16" ht="18.75" x14ac:dyDescent="0.25">
      <c r="A13" s="46">
        <v>14</v>
      </c>
      <c r="B13" s="2" t="s">
        <v>69</v>
      </c>
      <c r="C13" s="24" t="s">
        <v>80</v>
      </c>
      <c r="D13" s="27"/>
      <c r="E13" s="27">
        <v>35000</v>
      </c>
      <c r="F13" s="27">
        <v>750</v>
      </c>
      <c r="G13" s="27">
        <v>200</v>
      </c>
      <c r="H13" s="20">
        <f>SEPTEMBER!N13</f>
        <v>-13000</v>
      </c>
      <c r="I13" s="21">
        <f t="shared" si="1"/>
        <v>22950</v>
      </c>
      <c r="J13" s="30"/>
      <c r="K13" s="28"/>
      <c r="L13" s="29"/>
      <c r="M13" s="22" t="s">
        <v>114</v>
      </c>
      <c r="N13" s="23">
        <f t="shared" si="0"/>
        <v>22950</v>
      </c>
      <c r="O13" s="25"/>
      <c r="P13" s="26"/>
    </row>
    <row r="14" spans="1:16" ht="18.75" x14ac:dyDescent="0.25">
      <c r="A14" s="46">
        <v>15</v>
      </c>
      <c r="B14" s="2" t="s">
        <v>57</v>
      </c>
      <c r="C14" s="24" t="s">
        <v>75</v>
      </c>
      <c r="D14" s="27"/>
      <c r="E14" s="27">
        <v>35000</v>
      </c>
      <c r="F14" s="27">
        <v>2400</v>
      </c>
      <c r="G14" s="27">
        <v>200</v>
      </c>
      <c r="H14" s="20">
        <f>SEPTEMBER!N14</f>
        <v>3300</v>
      </c>
      <c r="I14" s="21">
        <f t="shared" si="1"/>
        <v>40900</v>
      </c>
      <c r="J14" s="30"/>
      <c r="K14" s="28"/>
      <c r="L14" s="29"/>
      <c r="M14" s="22" t="s">
        <v>114</v>
      </c>
      <c r="N14" s="23">
        <f t="shared" si="0"/>
        <v>40900</v>
      </c>
      <c r="O14" s="25"/>
      <c r="P14" s="26"/>
    </row>
    <row r="15" spans="1:16" ht="18.75" x14ac:dyDescent="0.25">
      <c r="A15" s="46">
        <v>16</v>
      </c>
      <c r="B15" s="2" t="s">
        <v>39</v>
      </c>
      <c r="C15" s="24" t="s">
        <v>40</v>
      </c>
      <c r="D15" s="27"/>
      <c r="E15" s="27">
        <v>35000</v>
      </c>
      <c r="F15" s="27">
        <v>450</v>
      </c>
      <c r="G15" s="27">
        <v>200</v>
      </c>
      <c r="H15" s="20">
        <f>SEPTEMBER!N15</f>
        <v>0</v>
      </c>
      <c r="I15" s="21">
        <f t="shared" si="1"/>
        <v>35650</v>
      </c>
      <c r="J15" s="30"/>
      <c r="K15" s="28"/>
      <c r="L15" s="29"/>
      <c r="M15" s="22" t="s">
        <v>114</v>
      </c>
      <c r="N15" s="23">
        <f t="shared" si="0"/>
        <v>35650</v>
      </c>
      <c r="O15" s="25"/>
      <c r="P15" s="26"/>
    </row>
    <row r="16" spans="1:16" ht="18.75" x14ac:dyDescent="0.25">
      <c r="A16" s="46">
        <v>17</v>
      </c>
      <c r="B16" s="2" t="s">
        <v>74</v>
      </c>
      <c r="C16" s="24"/>
      <c r="D16" s="27"/>
      <c r="E16" s="27"/>
      <c r="F16" s="27"/>
      <c r="G16" s="27"/>
      <c r="H16" s="20">
        <f>SEPTEMBER!N16</f>
        <v>0</v>
      </c>
      <c r="I16" s="21">
        <f t="shared" si="1"/>
        <v>0</v>
      </c>
      <c r="J16" s="30"/>
      <c r="K16" s="28"/>
      <c r="L16" s="29"/>
      <c r="M16" s="22" t="s">
        <v>114</v>
      </c>
      <c r="N16" s="23">
        <f t="shared" si="0"/>
        <v>0</v>
      </c>
      <c r="O16" s="25" t="s">
        <v>85</v>
      </c>
      <c r="P16" s="26"/>
    </row>
    <row r="17" spans="1:16" ht="18.75" x14ac:dyDescent="0.25">
      <c r="A17" s="46">
        <v>18</v>
      </c>
      <c r="B17" s="2" t="s">
        <v>49</v>
      </c>
      <c r="C17" s="24" t="s">
        <v>50</v>
      </c>
      <c r="D17" s="27"/>
      <c r="E17" s="27">
        <v>37000</v>
      </c>
      <c r="F17" s="27">
        <v>2100</v>
      </c>
      <c r="G17" s="27">
        <v>200</v>
      </c>
      <c r="H17" s="20">
        <f>SEPTEMBER!N17</f>
        <v>10800</v>
      </c>
      <c r="I17" s="21">
        <f t="shared" si="1"/>
        <v>50100</v>
      </c>
      <c r="J17" s="30">
        <v>11000</v>
      </c>
      <c r="K17" s="28" t="s">
        <v>154</v>
      </c>
      <c r="L17" s="29" t="s">
        <v>155</v>
      </c>
      <c r="M17" s="22" t="s">
        <v>114</v>
      </c>
      <c r="N17" s="23">
        <f t="shared" si="0"/>
        <v>39100</v>
      </c>
      <c r="O17" s="25"/>
      <c r="P17" s="26"/>
    </row>
    <row r="18" spans="1:16" ht="18.75" x14ac:dyDescent="0.25">
      <c r="A18" s="47">
        <v>21</v>
      </c>
      <c r="B18" s="2" t="s">
        <v>102</v>
      </c>
      <c r="C18" s="24"/>
      <c r="D18" s="27"/>
      <c r="E18" s="27">
        <v>35000</v>
      </c>
      <c r="F18" s="27">
        <v>300</v>
      </c>
      <c r="G18" s="27">
        <v>200</v>
      </c>
      <c r="H18" s="20">
        <f>SEPTEMBER!N18</f>
        <v>-25000</v>
      </c>
      <c r="I18" s="21">
        <f t="shared" si="1"/>
        <v>10500</v>
      </c>
      <c r="J18" s="30">
        <v>35000</v>
      </c>
      <c r="K18" s="28" t="s">
        <v>123</v>
      </c>
      <c r="L18" s="29" t="s">
        <v>124</v>
      </c>
      <c r="M18" s="22" t="s">
        <v>114</v>
      </c>
      <c r="N18" s="23">
        <f t="shared" si="0"/>
        <v>-24500</v>
      </c>
      <c r="O18" s="25"/>
      <c r="P18" s="26"/>
    </row>
    <row r="19" spans="1:16" ht="18.75" x14ac:dyDescent="0.25">
      <c r="A19" s="47">
        <v>22</v>
      </c>
      <c r="B19" s="2" t="s">
        <v>44</v>
      </c>
      <c r="C19" s="24" t="s">
        <v>137</v>
      </c>
      <c r="D19" s="27"/>
      <c r="E19" s="27">
        <v>35000</v>
      </c>
      <c r="F19" s="27">
        <v>1200</v>
      </c>
      <c r="G19" s="27">
        <v>200</v>
      </c>
      <c r="H19" s="20">
        <f>SEPTEMBER!N19</f>
        <v>-3300</v>
      </c>
      <c r="I19" s="21">
        <f t="shared" si="1"/>
        <v>33100</v>
      </c>
      <c r="J19" s="30">
        <v>35000</v>
      </c>
      <c r="K19" s="28" t="s">
        <v>142</v>
      </c>
      <c r="L19" s="29" t="s">
        <v>124</v>
      </c>
      <c r="M19" s="22" t="s">
        <v>114</v>
      </c>
      <c r="N19" s="23">
        <f>I19-J19</f>
        <v>-1900</v>
      </c>
      <c r="O19" s="25"/>
      <c r="P19" s="26"/>
    </row>
    <row r="20" spans="1:16" ht="18.75" x14ac:dyDescent="0.25">
      <c r="A20" s="47">
        <v>23</v>
      </c>
      <c r="B20" s="2" t="s">
        <v>92</v>
      </c>
      <c r="C20" s="24" t="s">
        <v>76</v>
      </c>
      <c r="D20" s="27"/>
      <c r="E20" s="27">
        <v>35000</v>
      </c>
      <c r="F20" s="27">
        <v>1350</v>
      </c>
      <c r="G20" s="27">
        <v>200</v>
      </c>
      <c r="H20" s="20">
        <f>SEPTEMBER!N20</f>
        <v>500</v>
      </c>
      <c r="I20" s="21">
        <f t="shared" si="1"/>
        <v>37050</v>
      </c>
      <c r="J20" s="30">
        <v>35000</v>
      </c>
      <c r="K20" s="28" t="s">
        <v>112</v>
      </c>
      <c r="L20" s="29" t="s">
        <v>113</v>
      </c>
      <c r="M20" s="22" t="s">
        <v>114</v>
      </c>
      <c r="N20" s="23">
        <f t="shared" si="0"/>
        <v>2050</v>
      </c>
      <c r="O20" s="25"/>
      <c r="P20" s="26"/>
    </row>
    <row r="21" spans="1:16" ht="18.75" x14ac:dyDescent="0.25">
      <c r="A21" s="47">
        <v>24</v>
      </c>
      <c r="B21" s="2" t="s">
        <v>103</v>
      </c>
      <c r="C21" s="24" t="s">
        <v>129</v>
      </c>
      <c r="D21" s="27">
        <v>37000</v>
      </c>
      <c r="E21" s="27"/>
      <c r="F21" s="27">
        <v>150</v>
      </c>
      <c r="G21" s="27">
        <v>0</v>
      </c>
      <c r="H21" s="20">
        <f>SEPTEMBER!N21</f>
        <v>27000</v>
      </c>
      <c r="I21" s="21">
        <f t="shared" si="1"/>
        <v>64150</v>
      </c>
      <c r="J21" s="30"/>
      <c r="K21" s="28"/>
      <c r="L21" s="29"/>
      <c r="M21" s="22" t="s">
        <v>114</v>
      </c>
      <c r="N21" s="23">
        <f t="shared" si="0"/>
        <v>64150</v>
      </c>
      <c r="O21" s="25"/>
      <c r="P21" s="26"/>
    </row>
    <row r="22" spans="1:16" ht="18.75" x14ac:dyDescent="0.25">
      <c r="A22" s="47">
        <v>25</v>
      </c>
      <c r="B22" s="2" t="s">
        <v>36</v>
      </c>
      <c r="C22" s="24" t="s">
        <v>82</v>
      </c>
      <c r="D22" s="27"/>
      <c r="E22" s="27">
        <v>35000</v>
      </c>
      <c r="F22" s="27">
        <v>1050</v>
      </c>
      <c r="G22" s="27">
        <v>200</v>
      </c>
      <c r="H22" s="20">
        <f>SEPTEMBER!N22</f>
        <v>200</v>
      </c>
      <c r="I22" s="21">
        <f t="shared" si="1"/>
        <v>36450</v>
      </c>
      <c r="J22" s="30"/>
      <c r="K22" s="28"/>
      <c r="L22" s="29"/>
      <c r="M22" s="22" t="s">
        <v>114</v>
      </c>
      <c r="N22" s="23">
        <f t="shared" si="0"/>
        <v>36450</v>
      </c>
      <c r="O22" s="25"/>
      <c r="P22" s="26"/>
    </row>
    <row r="23" spans="1:16" ht="18.75" x14ac:dyDescent="0.25">
      <c r="A23" s="47">
        <v>26</v>
      </c>
      <c r="B23" s="2" t="s">
        <v>42</v>
      </c>
      <c r="C23" s="24" t="s">
        <v>43</v>
      </c>
      <c r="D23" s="27"/>
      <c r="E23" s="27">
        <v>35000</v>
      </c>
      <c r="F23" s="27">
        <v>900</v>
      </c>
      <c r="G23" s="27">
        <v>200</v>
      </c>
      <c r="H23" s="20">
        <f>SEPTEMBER!N23</f>
        <v>1850</v>
      </c>
      <c r="I23" s="21">
        <f t="shared" si="1"/>
        <v>37950</v>
      </c>
      <c r="J23" s="30">
        <v>37500</v>
      </c>
      <c r="K23" s="28" t="s">
        <v>152</v>
      </c>
      <c r="L23" s="29" t="s">
        <v>153</v>
      </c>
      <c r="M23" s="22" t="s">
        <v>114</v>
      </c>
      <c r="N23" s="23">
        <f t="shared" si="0"/>
        <v>450</v>
      </c>
      <c r="O23" s="25"/>
      <c r="P23" s="26"/>
    </row>
    <row r="24" spans="1:16" ht="18.75" x14ac:dyDescent="0.25">
      <c r="A24" s="47">
        <v>27</v>
      </c>
      <c r="B24" s="2" t="s">
        <v>47</v>
      </c>
      <c r="C24" s="24" t="s">
        <v>48</v>
      </c>
      <c r="D24" s="27"/>
      <c r="E24" s="27">
        <v>35000</v>
      </c>
      <c r="F24" s="27">
        <v>450</v>
      </c>
      <c r="G24" s="27">
        <v>200</v>
      </c>
      <c r="H24" s="20">
        <f>SEPTEMBER!N24</f>
        <v>0</v>
      </c>
      <c r="I24" s="21">
        <f t="shared" si="1"/>
        <v>35650</v>
      </c>
      <c r="J24" s="30"/>
      <c r="K24" s="28"/>
      <c r="L24" s="29"/>
      <c r="M24" s="22" t="s">
        <v>114</v>
      </c>
      <c r="N24" s="23">
        <f t="shared" si="0"/>
        <v>35650</v>
      </c>
      <c r="O24" s="25"/>
      <c r="P24" s="26"/>
    </row>
    <row r="25" spans="1:16" ht="18.75" x14ac:dyDescent="0.25">
      <c r="A25" s="47">
        <v>28</v>
      </c>
      <c r="B25" s="2" t="s">
        <v>74</v>
      </c>
      <c r="C25" s="24"/>
      <c r="D25" s="27"/>
      <c r="E25" s="27"/>
      <c r="F25" s="27">
        <v>0</v>
      </c>
      <c r="G25" s="27"/>
      <c r="H25" s="20">
        <f>SEPTEMBER!N25</f>
        <v>0</v>
      </c>
      <c r="I25" s="21">
        <f t="shared" si="1"/>
        <v>0</v>
      </c>
      <c r="J25" s="30"/>
      <c r="K25" s="28"/>
      <c r="L25" s="29"/>
      <c r="M25" s="22" t="s">
        <v>114</v>
      </c>
      <c r="N25" s="23">
        <f t="shared" si="0"/>
        <v>0</v>
      </c>
      <c r="O25" s="25"/>
      <c r="P25" s="26"/>
    </row>
    <row r="26" spans="1:16" ht="18.75" x14ac:dyDescent="0.25">
      <c r="A26" s="51">
        <v>31</v>
      </c>
      <c r="B26" s="2" t="s">
        <v>104</v>
      </c>
      <c r="C26" s="24" t="s">
        <v>151</v>
      </c>
      <c r="D26" s="27"/>
      <c r="E26" s="27">
        <v>25000</v>
      </c>
      <c r="F26" s="27">
        <v>0</v>
      </c>
      <c r="G26" s="27"/>
      <c r="H26" s="20">
        <f>SEPTEMBER!N26</f>
        <v>-8000</v>
      </c>
      <c r="I26" s="21">
        <f t="shared" si="1"/>
        <v>17000</v>
      </c>
      <c r="J26" s="30"/>
      <c r="K26" s="28"/>
      <c r="L26" s="29"/>
      <c r="M26" s="22" t="s">
        <v>114</v>
      </c>
      <c r="N26" s="23"/>
      <c r="O26" s="25"/>
      <c r="P26" s="26"/>
    </row>
    <row r="27" spans="1:16" ht="18.75" x14ac:dyDescent="0.25">
      <c r="A27" s="51">
        <v>32</v>
      </c>
      <c r="B27" s="2" t="s">
        <v>61</v>
      </c>
      <c r="C27" s="24" t="s">
        <v>101</v>
      </c>
      <c r="D27" s="27"/>
      <c r="E27" s="27">
        <v>35000</v>
      </c>
      <c r="F27" s="27">
        <v>0</v>
      </c>
      <c r="G27" s="27"/>
      <c r="H27" s="20">
        <f>SEPTEMBER!N27</f>
        <v>22000</v>
      </c>
      <c r="I27" s="21">
        <f t="shared" si="1"/>
        <v>57000</v>
      </c>
      <c r="J27" s="30"/>
      <c r="K27" s="28"/>
      <c r="L27" s="29"/>
      <c r="M27" s="22" t="s">
        <v>114</v>
      </c>
      <c r="N27" s="23">
        <v>22000</v>
      </c>
      <c r="O27" s="25" t="s">
        <v>85</v>
      </c>
      <c r="P27" s="26"/>
    </row>
    <row r="28" spans="1:16" ht="18.75" x14ac:dyDescent="0.25">
      <c r="A28" s="51">
        <v>33</v>
      </c>
      <c r="B28" s="2" t="s">
        <v>105</v>
      </c>
      <c r="C28" s="24"/>
      <c r="D28" s="27"/>
      <c r="E28" s="27">
        <v>35000</v>
      </c>
      <c r="F28" s="27">
        <v>0</v>
      </c>
      <c r="G28" s="27"/>
      <c r="H28" s="20">
        <f>SEPTEMBER!N28</f>
        <v>2000</v>
      </c>
      <c r="I28" s="21">
        <f t="shared" si="1"/>
        <v>37000</v>
      </c>
      <c r="J28" s="30"/>
      <c r="K28" s="28"/>
      <c r="L28" s="29"/>
      <c r="M28" s="22" t="s">
        <v>114</v>
      </c>
      <c r="N28" s="23"/>
      <c r="O28" s="25"/>
      <c r="P28" s="26"/>
    </row>
    <row r="29" spans="1:16" ht="18.75" x14ac:dyDescent="0.25">
      <c r="A29" s="51">
        <v>34</v>
      </c>
      <c r="B29" s="2" t="s">
        <v>98</v>
      </c>
      <c r="C29" s="24" t="s">
        <v>99</v>
      </c>
      <c r="D29" s="27"/>
      <c r="E29" s="27">
        <v>35000</v>
      </c>
      <c r="F29" s="27">
        <v>0</v>
      </c>
      <c r="G29" s="27">
        <v>0</v>
      </c>
      <c r="H29" s="20">
        <f>SEPTEMBER!N29</f>
        <v>2000</v>
      </c>
      <c r="I29" s="21">
        <f t="shared" si="1"/>
        <v>37000</v>
      </c>
      <c r="J29" s="30">
        <v>35000</v>
      </c>
      <c r="K29" s="28" t="s">
        <v>136</v>
      </c>
      <c r="L29" s="29" t="s">
        <v>124</v>
      </c>
      <c r="M29" s="22" t="s">
        <v>114</v>
      </c>
      <c r="N29" s="23">
        <f>I29-J29</f>
        <v>2000</v>
      </c>
      <c r="O29" s="25" t="s">
        <v>85</v>
      </c>
      <c r="P29" s="26"/>
    </row>
    <row r="30" spans="1:16" ht="18.75" x14ac:dyDescent="0.25">
      <c r="A30" s="51">
        <v>35</v>
      </c>
      <c r="B30" s="2" t="s">
        <v>106</v>
      </c>
      <c r="C30" s="24" t="s">
        <v>109</v>
      </c>
      <c r="D30" s="27"/>
      <c r="E30" s="27">
        <v>35000</v>
      </c>
      <c r="F30" s="27">
        <v>0</v>
      </c>
      <c r="G30" s="27"/>
      <c r="H30" s="20">
        <f>SEPTEMBER!N30</f>
        <v>-35000</v>
      </c>
      <c r="I30" s="21">
        <f t="shared" si="1"/>
        <v>0</v>
      </c>
      <c r="J30" s="30"/>
      <c r="K30" s="28"/>
      <c r="L30" s="29"/>
      <c r="M30" s="22" t="s">
        <v>114</v>
      </c>
      <c r="N30" s="23"/>
      <c r="O30" s="25"/>
      <c r="P30" s="26"/>
    </row>
    <row r="31" spans="1:16" ht="18.75" x14ac:dyDescent="0.25">
      <c r="A31" s="51">
        <v>36</v>
      </c>
      <c r="B31" s="2" t="s">
        <v>110</v>
      </c>
      <c r="C31" s="24" t="s">
        <v>111</v>
      </c>
      <c r="D31" s="27"/>
      <c r="E31" s="27">
        <v>35000</v>
      </c>
      <c r="F31" s="27">
        <v>0</v>
      </c>
      <c r="G31" s="27"/>
      <c r="H31" s="20">
        <f>SEPTEMBER!N31</f>
        <v>27000</v>
      </c>
      <c r="I31" s="21">
        <f t="shared" si="1"/>
        <v>62000</v>
      </c>
      <c r="J31" s="30">
        <f>60000+2000</f>
        <v>62000</v>
      </c>
      <c r="K31" s="28" t="s">
        <v>156</v>
      </c>
      <c r="L31" s="29" t="s">
        <v>157</v>
      </c>
      <c r="M31" s="22" t="s">
        <v>114</v>
      </c>
      <c r="N31" s="23"/>
      <c r="O31" s="25"/>
      <c r="P31" s="26"/>
    </row>
    <row r="32" spans="1:16" ht="18.75" x14ac:dyDescent="0.25">
      <c r="A32" s="51">
        <v>37</v>
      </c>
      <c r="B32" s="2" t="s">
        <v>107</v>
      </c>
      <c r="C32" s="24" t="s">
        <v>108</v>
      </c>
      <c r="D32" s="27"/>
      <c r="E32" s="27">
        <v>35000</v>
      </c>
      <c r="F32" s="27">
        <v>0</v>
      </c>
      <c r="G32" s="27"/>
      <c r="H32" s="20">
        <f>SEPTEMBER!N32</f>
        <v>-213000</v>
      </c>
      <c r="I32" s="21">
        <f t="shared" si="1"/>
        <v>-178000</v>
      </c>
      <c r="J32" s="30"/>
      <c r="K32" s="28"/>
      <c r="L32" s="29"/>
      <c r="M32" s="22" t="s">
        <v>114</v>
      </c>
      <c r="N32" s="23"/>
      <c r="O32" s="25"/>
      <c r="P32" s="26"/>
    </row>
    <row r="33" spans="1:16" ht="18.75" x14ac:dyDescent="0.25">
      <c r="A33" s="51">
        <v>38</v>
      </c>
      <c r="B33" s="2" t="s">
        <v>74</v>
      </c>
      <c r="C33" s="24"/>
      <c r="D33" s="27"/>
      <c r="E33" s="27"/>
      <c r="F33" s="27">
        <v>0</v>
      </c>
      <c r="G33" s="27"/>
      <c r="H33" s="20">
        <f>SEPTEMBER!N33</f>
        <v>0</v>
      </c>
      <c r="I33" s="21">
        <f t="shared" si="1"/>
        <v>0</v>
      </c>
      <c r="J33" s="30"/>
      <c r="K33" s="28"/>
      <c r="L33" s="29"/>
      <c r="M33" s="22" t="s">
        <v>114</v>
      </c>
      <c r="N33" s="23"/>
      <c r="O33" s="25"/>
      <c r="P33" s="26"/>
    </row>
    <row r="34" spans="1:16" ht="18.75" x14ac:dyDescent="0.25">
      <c r="A34" s="32" t="s">
        <v>23</v>
      </c>
      <c r="B34" s="2"/>
      <c r="C34" s="31"/>
      <c r="D34" s="52">
        <f t="shared" ref="D34:H34" si="2">SUM(D10:D33)</f>
        <v>37000</v>
      </c>
      <c r="E34" s="53">
        <f t="shared" si="2"/>
        <v>657000</v>
      </c>
      <c r="F34" s="53">
        <f t="shared" si="2"/>
        <v>13500</v>
      </c>
      <c r="G34" s="53">
        <f t="shared" si="2"/>
        <v>2600</v>
      </c>
      <c r="H34" s="53">
        <f t="shared" si="2"/>
        <v>-218550</v>
      </c>
      <c r="I34" s="53">
        <f>SUM(I10:I33)</f>
        <v>491550</v>
      </c>
      <c r="J34" s="53">
        <f>SUM(J10:J33)</f>
        <v>250500</v>
      </c>
      <c r="K34" s="53"/>
      <c r="L34" s="53"/>
      <c r="M34" s="53"/>
      <c r="N34" s="53">
        <f>SUM(N10:N33)</f>
        <v>360200</v>
      </c>
      <c r="O34" s="34"/>
      <c r="P34" s="34"/>
    </row>
    <row r="35" spans="1:16" ht="18.75" x14ac:dyDescent="0.25">
      <c r="A35" s="36" t="s">
        <v>24</v>
      </c>
      <c r="B35" s="2"/>
      <c r="C35" s="31"/>
      <c r="D35" s="33"/>
      <c r="E35" s="34"/>
      <c r="F35" s="34"/>
      <c r="G35" s="34"/>
      <c r="H35" s="35"/>
      <c r="I35" s="34"/>
      <c r="J35" s="34"/>
      <c r="K35" s="1"/>
      <c r="L35" s="1"/>
      <c r="M35" s="1"/>
      <c r="N35" s="34"/>
      <c r="O35" s="34"/>
      <c r="P35" s="34"/>
    </row>
    <row r="36" spans="1:16" ht="18.75" x14ac:dyDescent="0.25">
      <c r="A36" s="2" t="s">
        <v>25</v>
      </c>
      <c r="B36" s="2"/>
      <c r="C36" s="31"/>
      <c r="D36" s="2"/>
      <c r="E36" s="2"/>
      <c r="F36" s="2"/>
      <c r="G36" s="2"/>
      <c r="H36" s="13"/>
      <c r="I36" s="2"/>
      <c r="J36" s="54">
        <f>5%*J34</f>
        <v>12525</v>
      </c>
      <c r="K36" s="2"/>
      <c r="L36" s="2"/>
      <c r="M36" s="2"/>
      <c r="N36" s="2"/>
      <c r="O36" s="10"/>
      <c r="P36" s="2"/>
    </row>
    <row r="37" spans="1:16" ht="21" x14ac:dyDescent="0.4">
      <c r="A37" s="10" t="s">
        <v>26</v>
      </c>
      <c r="B37" s="10"/>
      <c r="C37" s="10"/>
      <c r="D37" s="10"/>
      <c r="E37" s="10"/>
      <c r="F37" s="10"/>
      <c r="G37" s="10"/>
      <c r="H37" s="37"/>
      <c r="I37" s="10"/>
      <c r="J37" s="38">
        <f>SUM(J36:J36)</f>
        <v>12525</v>
      </c>
      <c r="K37" s="10"/>
      <c r="L37" s="10"/>
      <c r="M37" s="2"/>
      <c r="N37" s="10"/>
      <c r="O37" s="10"/>
      <c r="P37" s="10"/>
    </row>
    <row r="38" spans="1:16" ht="18.75" x14ac:dyDescent="0.25">
      <c r="A38" s="2" t="s">
        <v>27</v>
      </c>
      <c r="B38" s="2"/>
      <c r="C38" s="2"/>
      <c r="D38" s="2"/>
      <c r="E38" s="2"/>
      <c r="F38" s="2"/>
      <c r="G38" s="2"/>
      <c r="H38" s="13"/>
      <c r="I38" s="2"/>
      <c r="J38" s="39"/>
      <c r="K38" s="40" t="s">
        <v>28</v>
      </c>
      <c r="L38" s="40"/>
      <c r="M38" s="40" t="s">
        <v>29</v>
      </c>
      <c r="N38" s="40" t="s">
        <v>30</v>
      </c>
      <c r="O38" s="2"/>
      <c r="P38" s="2"/>
    </row>
    <row r="39" spans="1:16" ht="19.5" thickBot="1" x14ac:dyDescent="0.3">
      <c r="A39" s="1" t="s">
        <v>31</v>
      </c>
      <c r="B39" s="1"/>
      <c r="C39" s="1"/>
      <c r="D39" s="1"/>
      <c r="E39" s="1"/>
      <c r="F39" s="1"/>
      <c r="G39" s="1"/>
      <c r="H39" s="35"/>
      <c r="I39" s="10"/>
      <c r="J39" s="41">
        <f>J37</f>
        <v>12525</v>
      </c>
      <c r="K39" s="37"/>
      <c r="L39" s="37"/>
      <c r="M39" s="37"/>
      <c r="N39" s="42">
        <f>J39+J38-K39-M39</f>
        <v>12525</v>
      </c>
      <c r="O39" s="2"/>
      <c r="P39" s="2"/>
    </row>
    <row r="40" spans="1:16" ht="19.5" thickTop="1" x14ac:dyDescent="0.25">
      <c r="A40" s="2" t="s">
        <v>32</v>
      </c>
      <c r="B40" s="2"/>
      <c r="C40" s="2"/>
      <c r="D40" s="2"/>
      <c r="E40" s="2"/>
      <c r="F40" s="2"/>
      <c r="G40" s="2"/>
      <c r="H40" s="13"/>
      <c r="I40" s="2"/>
      <c r="J40" s="2"/>
      <c r="K40" s="2"/>
      <c r="L40" s="2"/>
      <c r="M40" s="2"/>
      <c r="N40" s="43" t="s">
        <v>88</v>
      </c>
      <c r="O40" s="44"/>
      <c r="P40" s="43"/>
    </row>
    <row r="42" spans="1:16" x14ac:dyDescent="0.2">
      <c r="J42">
        <f>J34/I34*100</f>
        <v>50.961245041196214</v>
      </c>
    </row>
  </sheetData>
  <mergeCells count="1"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AUGUST</vt:lpstr>
      <vt:lpstr>SEPTEMBER</vt:lpstr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PC</cp:lastModifiedBy>
  <cp:lastPrinted>2026-10-02T12:12:32Z</cp:lastPrinted>
  <dcterms:created xsi:type="dcterms:W3CDTF">2026-08-29T07:48:24Z</dcterms:created>
  <dcterms:modified xsi:type="dcterms:W3CDTF">2026-10-04T14:36:30Z</dcterms:modified>
</cp:coreProperties>
</file>
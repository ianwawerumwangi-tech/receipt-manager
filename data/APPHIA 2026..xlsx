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LOBBY LINKED\LOBBY 2026\NAIROBI 2026\CO OP\"/>
    </mc:Choice>
  </mc:AlternateContent>
  <xr:revisionPtr revIDLastSave="320" documentId="8_{7DA34D3F-26CF-46F3-9948-51754458BC35}" xr6:coauthVersionLast="40" xr6:coauthVersionMax="47" xr10:uidLastSave="{243E123D-E051-45E2-9D0B-F7F1D85ED644}"/>
  <bookViews>
    <workbookView xWindow="-105" yWindow="-105" windowWidth="23250" windowHeight="12450" activeTab="9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" sheetId="9" r:id="rId9"/>
    <sheet name="OCT" sheetId="10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0" l="1"/>
  <c r="J28" i="10" s="1"/>
  <c r="J37" i="10"/>
  <c r="F11" i="10"/>
  <c r="I11" i="10" s="1"/>
  <c r="M11" i="10" s="1"/>
  <c r="F12" i="10"/>
  <c r="F13" i="10"/>
  <c r="F14" i="10"/>
  <c r="F15" i="10"/>
  <c r="F16" i="10"/>
  <c r="F17" i="10"/>
  <c r="I17" i="10" s="1"/>
  <c r="M17" i="10" s="1"/>
  <c r="F18" i="10"/>
  <c r="I18" i="10" s="1"/>
  <c r="M18" i="10" s="1"/>
  <c r="F19" i="10"/>
  <c r="I19" i="10" s="1"/>
  <c r="M19" i="10" s="1"/>
  <c r="F20" i="10"/>
  <c r="F21" i="10"/>
  <c r="F22" i="10"/>
  <c r="F23" i="10"/>
  <c r="I23" i="10" s="1"/>
  <c r="M23" i="10" s="1"/>
  <c r="F24" i="10"/>
  <c r="F25" i="10"/>
  <c r="I25" i="10" s="1"/>
  <c r="M25" i="10" s="1"/>
  <c r="F26" i="10"/>
  <c r="I26" i="10" s="1"/>
  <c r="M26" i="10" s="1"/>
  <c r="F27" i="10"/>
  <c r="I27" i="10" s="1"/>
  <c r="M27" i="10" s="1"/>
  <c r="F10" i="10"/>
  <c r="M46" i="10"/>
  <c r="M33" i="10"/>
  <c r="H28" i="10"/>
  <c r="G28" i="10"/>
  <c r="E28" i="10"/>
  <c r="D28" i="10"/>
  <c r="R25" i="10"/>
  <c r="I24" i="10"/>
  <c r="M24" i="10" s="1"/>
  <c r="I22" i="10"/>
  <c r="M22" i="10" s="1"/>
  <c r="I21" i="10"/>
  <c r="M21" i="10" s="1"/>
  <c r="I20" i="10"/>
  <c r="M20" i="10" s="1"/>
  <c r="I16" i="10"/>
  <c r="M16" i="10" s="1"/>
  <c r="I15" i="10"/>
  <c r="M15" i="10" s="1"/>
  <c r="I14" i="10"/>
  <c r="M14" i="10" s="1"/>
  <c r="I13" i="10"/>
  <c r="M13" i="10" s="1"/>
  <c r="I12" i="10"/>
  <c r="M12" i="10" s="1"/>
  <c r="J36" i="9"/>
  <c r="J28" i="9"/>
  <c r="J13" i="9"/>
  <c r="J21" i="9"/>
  <c r="J19" i="9"/>
  <c r="J34" i="9"/>
  <c r="J31" i="9"/>
  <c r="J16" i="9"/>
  <c r="J14" i="9"/>
  <c r="J18" i="9"/>
  <c r="J24" i="9"/>
  <c r="J26" i="9"/>
  <c r="J11" i="9"/>
  <c r="J15" i="9"/>
  <c r="J25" i="9"/>
  <c r="J12" i="9"/>
  <c r="J20" i="9"/>
  <c r="J17" i="9"/>
  <c r="J23" i="9"/>
  <c r="M47" i="9"/>
  <c r="M33" i="9"/>
  <c r="H28" i="9"/>
  <c r="G28" i="9"/>
  <c r="E28" i="9"/>
  <c r="D28" i="9"/>
  <c r="R25" i="9"/>
  <c r="J37" i="8"/>
  <c r="J31" i="8"/>
  <c r="J14" i="8"/>
  <c r="J28" i="8"/>
  <c r="J13" i="8"/>
  <c r="J16" i="8"/>
  <c r="J24" i="8"/>
  <c r="J16" i="7"/>
  <c r="J21" i="7"/>
  <c r="J12" i="8"/>
  <c r="J15" i="8"/>
  <c r="J11" i="8"/>
  <c r="J23" i="8"/>
  <c r="J25" i="8"/>
  <c r="J17" i="8"/>
  <c r="J10" i="8"/>
  <c r="J20" i="8"/>
  <c r="J19" i="8"/>
  <c r="M50" i="8"/>
  <c r="H28" i="8"/>
  <c r="G28" i="8"/>
  <c r="E28" i="8"/>
  <c r="D28" i="8"/>
  <c r="R25" i="8"/>
  <c r="J33" i="7"/>
  <c r="J31" i="7"/>
  <c r="J13" i="7"/>
  <c r="J14" i="7"/>
  <c r="J24" i="7"/>
  <c r="J15" i="7"/>
  <c r="J11" i="7"/>
  <c r="J10" i="7"/>
  <c r="H28" i="7"/>
  <c r="J26" i="7"/>
  <c r="J19" i="7"/>
  <c r="J22" i="7"/>
  <c r="J17" i="7"/>
  <c r="J20" i="7"/>
  <c r="J25" i="7"/>
  <c r="J12" i="7"/>
  <c r="M47" i="7"/>
  <c r="G28" i="7"/>
  <c r="E28" i="7"/>
  <c r="D28" i="7"/>
  <c r="R25" i="7"/>
  <c r="J32" i="6"/>
  <c r="J31" i="6"/>
  <c r="F20" i="1"/>
  <c r="J16" i="6"/>
  <c r="F25" i="1"/>
  <c r="I25" i="1"/>
  <c r="J21" i="6"/>
  <c r="J24" i="6"/>
  <c r="J26" i="6"/>
  <c r="J11" i="6"/>
  <c r="J14" i="6"/>
  <c r="J15" i="6"/>
  <c r="J25" i="6"/>
  <c r="J19" i="6"/>
  <c r="J22" i="6"/>
  <c r="J17" i="6"/>
  <c r="J20" i="6"/>
  <c r="J12" i="6"/>
  <c r="J10" i="6"/>
  <c r="M46" i="6"/>
  <c r="H28" i="6"/>
  <c r="G28" i="6"/>
  <c r="E28" i="6"/>
  <c r="D28" i="6"/>
  <c r="R25" i="6"/>
  <c r="J35" i="5"/>
  <c r="J32" i="5"/>
  <c r="J31" i="5"/>
  <c r="J33" i="5"/>
  <c r="J13" i="5"/>
  <c r="J14" i="5"/>
  <c r="J16" i="5"/>
  <c r="J21" i="5"/>
  <c r="J19" i="5"/>
  <c r="J11" i="5"/>
  <c r="J22" i="5"/>
  <c r="J10" i="5"/>
  <c r="J12" i="5"/>
  <c r="J15" i="5"/>
  <c r="J24" i="5"/>
  <c r="J23" i="5"/>
  <c r="J17" i="5"/>
  <c r="J25" i="5"/>
  <c r="J20" i="5"/>
  <c r="J26" i="5"/>
  <c r="M47" i="5"/>
  <c r="H28" i="5"/>
  <c r="G28" i="5"/>
  <c r="E28" i="5"/>
  <c r="D28" i="5"/>
  <c r="R25" i="5"/>
  <c r="J36" i="4"/>
  <c r="J31" i="4"/>
  <c r="J34" i="4"/>
  <c r="J33" i="4"/>
  <c r="J13" i="4"/>
  <c r="J16" i="4"/>
  <c r="J14" i="4"/>
  <c r="J12" i="4"/>
  <c r="J11" i="4"/>
  <c r="J17" i="4"/>
  <c r="I19" i="4"/>
  <c r="M19" i="4"/>
  <c r="F19" i="5"/>
  <c r="I19" i="5"/>
  <c r="M19" i="5"/>
  <c r="F19" i="6"/>
  <c r="I19" i="6"/>
  <c r="M19" i="6"/>
  <c r="F19" i="7"/>
  <c r="I19" i="7"/>
  <c r="M19" i="7"/>
  <c r="F19" i="8"/>
  <c r="I19" i="8"/>
  <c r="M19" i="8"/>
  <c r="F19" i="9"/>
  <c r="I19" i="9"/>
  <c r="M19" i="9"/>
  <c r="I18" i="4"/>
  <c r="M18" i="4"/>
  <c r="F18" i="5"/>
  <c r="I18" i="5"/>
  <c r="M18" i="5"/>
  <c r="I18" i="6"/>
  <c r="M18" i="6"/>
  <c r="F18" i="7"/>
  <c r="I18" i="7"/>
  <c r="M18" i="7"/>
  <c r="F18" i="8"/>
  <c r="I18" i="8"/>
  <c r="M18" i="8"/>
  <c r="F18" i="9"/>
  <c r="I18" i="9"/>
  <c r="M18" i="9"/>
  <c r="J22" i="4"/>
  <c r="J15" i="4"/>
  <c r="J26" i="4"/>
  <c r="J10" i="4"/>
  <c r="J21" i="4"/>
  <c r="J25" i="4"/>
  <c r="J23" i="4"/>
  <c r="J20" i="4"/>
  <c r="J24" i="4"/>
  <c r="M49" i="4"/>
  <c r="H28" i="4"/>
  <c r="G28" i="4"/>
  <c r="E28" i="4"/>
  <c r="D28" i="4"/>
  <c r="R25" i="4"/>
  <c r="J37" i="3"/>
  <c r="J36" i="3"/>
  <c r="J35" i="3"/>
  <c r="J31" i="3"/>
  <c r="J34" i="3"/>
  <c r="J33" i="3"/>
  <c r="J16" i="3"/>
  <c r="J12" i="3"/>
  <c r="J14" i="3"/>
  <c r="J22" i="3"/>
  <c r="J18" i="3"/>
  <c r="J26" i="3"/>
  <c r="J21" i="3"/>
  <c r="J11" i="3"/>
  <c r="J10" i="3"/>
  <c r="J19" i="3"/>
  <c r="J15" i="3"/>
  <c r="J25" i="3"/>
  <c r="J24" i="3"/>
  <c r="J20" i="3"/>
  <c r="J23" i="3"/>
  <c r="J17" i="3"/>
  <c r="M50" i="3"/>
  <c r="H28" i="3"/>
  <c r="G28" i="3"/>
  <c r="E28" i="3"/>
  <c r="D28" i="3"/>
  <c r="R25" i="3"/>
  <c r="M48" i="2"/>
  <c r="J16" i="2"/>
  <c r="J34" i="2"/>
  <c r="J35" i="2"/>
  <c r="J33" i="2"/>
  <c r="J31" i="2"/>
  <c r="J36" i="2"/>
  <c r="J32" i="2"/>
  <c r="J14" i="2"/>
  <c r="J13" i="2"/>
  <c r="J24" i="2"/>
  <c r="J11" i="2"/>
  <c r="J16" i="1"/>
  <c r="J12" i="2"/>
  <c r="J19" i="2"/>
  <c r="J26" i="2"/>
  <c r="J22" i="2"/>
  <c r="J15" i="2"/>
  <c r="J25" i="2"/>
  <c r="J23" i="2"/>
  <c r="J17" i="2"/>
  <c r="J21" i="2"/>
  <c r="J18" i="2"/>
  <c r="J20" i="2"/>
  <c r="H28" i="2"/>
  <c r="G28" i="2"/>
  <c r="E28" i="2"/>
  <c r="D28" i="2"/>
  <c r="R25" i="2"/>
  <c r="J31" i="1"/>
  <c r="J24" i="1"/>
  <c r="J13" i="1"/>
  <c r="I16" i="1"/>
  <c r="J12" i="1"/>
  <c r="M12" i="1"/>
  <c r="F12" i="2"/>
  <c r="I12" i="2"/>
  <c r="M12" i="2"/>
  <c r="F12" i="3"/>
  <c r="I12" i="3"/>
  <c r="M12" i="3"/>
  <c r="F12" i="4"/>
  <c r="I12" i="4"/>
  <c r="M12" i="4"/>
  <c r="F12" i="5"/>
  <c r="I12" i="5"/>
  <c r="M12" i="5"/>
  <c r="F12" i="6"/>
  <c r="I12" i="6"/>
  <c r="M12" i="6"/>
  <c r="F12" i="7"/>
  <c r="I12" i="7"/>
  <c r="M12" i="7"/>
  <c r="F12" i="8"/>
  <c r="I12" i="8"/>
  <c r="M12" i="8"/>
  <c r="F12" i="9"/>
  <c r="I12" i="9"/>
  <c r="M12" i="9"/>
  <c r="J15" i="1"/>
  <c r="J11" i="1"/>
  <c r="J21" i="1"/>
  <c r="J19" i="1"/>
  <c r="J26" i="1"/>
  <c r="J25" i="1"/>
  <c r="J20" i="1"/>
  <c r="J23" i="1"/>
  <c r="J17" i="1"/>
  <c r="J22" i="1"/>
  <c r="J38" i="1"/>
  <c r="I11" i="1"/>
  <c r="I12" i="1"/>
  <c r="I13" i="1"/>
  <c r="M13" i="1"/>
  <c r="I14" i="1"/>
  <c r="M14" i="1"/>
  <c r="F14" i="2"/>
  <c r="I14" i="2"/>
  <c r="M14" i="2"/>
  <c r="I15" i="1"/>
  <c r="M15" i="1"/>
  <c r="F15" i="2"/>
  <c r="I15" i="2"/>
  <c r="M15" i="2"/>
  <c r="F15" i="3"/>
  <c r="I15" i="3"/>
  <c r="M15" i="3"/>
  <c r="F15" i="4"/>
  <c r="I15" i="4"/>
  <c r="M15" i="4"/>
  <c r="F15" i="5"/>
  <c r="I15" i="5"/>
  <c r="M15" i="5"/>
  <c r="F15" i="6"/>
  <c r="I15" i="6"/>
  <c r="M15" i="6"/>
  <c r="F15" i="7"/>
  <c r="I15" i="7"/>
  <c r="M15" i="7"/>
  <c r="F15" i="8"/>
  <c r="I15" i="8"/>
  <c r="M15" i="8"/>
  <c r="F15" i="9"/>
  <c r="I15" i="9"/>
  <c r="I17" i="1"/>
  <c r="M17" i="1"/>
  <c r="F17" i="2"/>
  <c r="I17" i="2"/>
  <c r="M17" i="2"/>
  <c r="I18" i="1"/>
  <c r="M18" i="1"/>
  <c r="F18" i="2"/>
  <c r="I18" i="2"/>
  <c r="M18" i="2"/>
  <c r="F18" i="3"/>
  <c r="I18" i="3"/>
  <c r="M18" i="3"/>
  <c r="I19" i="1"/>
  <c r="I20" i="1"/>
  <c r="I21" i="1"/>
  <c r="I22" i="1"/>
  <c r="M22" i="1"/>
  <c r="F22" i="2"/>
  <c r="I23" i="1"/>
  <c r="I24" i="1"/>
  <c r="M24" i="1"/>
  <c r="F24" i="2"/>
  <c r="I24" i="2"/>
  <c r="M24" i="2"/>
  <c r="I26" i="1"/>
  <c r="M26" i="1"/>
  <c r="F26" i="2"/>
  <c r="I26" i="2"/>
  <c r="M26" i="2"/>
  <c r="F26" i="3"/>
  <c r="I26" i="3"/>
  <c r="M26" i="3"/>
  <c r="F26" i="4"/>
  <c r="I26" i="4"/>
  <c r="M26" i="4"/>
  <c r="F26" i="5"/>
  <c r="I26" i="5"/>
  <c r="M26" i="5"/>
  <c r="F26" i="6"/>
  <c r="I26" i="6"/>
  <c r="M26" i="6"/>
  <c r="F26" i="7"/>
  <c r="I26" i="7"/>
  <c r="M26" i="7"/>
  <c r="I27" i="1"/>
  <c r="M27" i="1"/>
  <c r="F27" i="2"/>
  <c r="I27" i="2"/>
  <c r="M27" i="2"/>
  <c r="F27" i="3"/>
  <c r="I27" i="3"/>
  <c r="M27" i="3"/>
  <c r="F27" i="4"/>
  <c r="I27" i="4"/>
  <c r="M27" i="4"/>
  <c r="F27" i="5"/>
  <c r="I27" i="5"/>
  <c r="M27" i="5"/>
  <c r="F27" i="6"/>
  <c r="I27" i="6"/>
  <c r="M27" i="6"/>
  <c r="F27" i="7"/>
  <c r="I27" i="7"/>
  <c r="M27" i="7"/>
  <c r="F27" i="8"/>
  <c r="I27" i="8"/>
  <c r="M27" i="8"/>
  <c r="F27" i="9"/>
  <c r="I27" i="9"/>
  <c r="M27" i="9"/>
  <c r="I10" i="1"/>
  <c r="H28" i="1"/>
  <c r="G28" i="1"/>
  <c r="E28" i="1"/>
  <c r="D28" i="1"/>
  <c r="R25" i="1"/>
  <c r="I21" i="8"/>
  <c r="M21" i="8"/>
  <c r="F21" i="9"/>
  <c r="I21" i="9"/>
  <c r="M21" i="9"/>
  <c r="I22" i="8"/>
  <c r="M22" i="8"/>
  <c r="F22" i="9"/>
  <c r="I22" i="9"/>
  <c r="M22" i="9"/>
  <c r="I26" i="8"/>
  <c r="M26" i="8"/>
  <c r="F26" i="9"/>
  <c r="I26" i="9"/>
  <c r="M26" i="9"/>
  <c r="J28" i="7"/>
  <c r="J30" i="7"/>
  <c r="J36" i="7"/>
  <c r="M16" i="1"/>
  <c r="F16" i="2"/>
  <c r="I16" i="2"/>
  <c r="M16" i="2"/>
  <c r="F16" i="3"/>
  <c r="I16" i="3"/>
  <c r="M16" i="3"/>
  <c r="F16" i="4"/>
  <c r="I16" i="4"/>
  <c r="M16" i="4"/>
  <c r="F16" i="5"/>
  <c r="I16" i="5"/>
  <c r="M16" i="5"/>
  <c r="F16" i="6"/>
  <c r="I16" i="6"/>
  <c r="M16" i="6"/>
  <c r="F16" i="7"/>
  <c r="I16" i="7"/>
  <c r="M16" i="7"/>
  <c r="F16" i="8"/>
  <c r="I16" i="8"/>
  <c r="M16" i="8"/>
  <c r="F16" i="9"/>
  <c r="I16" i="9"/>
  <c r="M16" i="9"/>
  <c r="M21" i="1"/>
  <c r="F21" i="2"/>
  <c r="I21" i="2"/>
  <c r="M21" i="2"/>
  <c r="F21" i="3"/>
  <c r="I21" i="3"/>
  <c r="M21" i="3"/>
  <c r="F21" i="4"/>
  <c r="I21" i="4"/>
  <c r="M21" i="4"/>
  <c r="F21" i="5"/>
  <c r="I21" i="5"/>
  <c r="M21" i="5"/>
  <c r="F21" i="6"/>
  <c r="I21" i="6"/>
  <c r="M21" i="6"/>
  <c r="F21" i="7"/>
  <c r="I21" i="7"/>
  <c r="M21" i="7"/>
  <c r="I22" i="2"/>
  <c r="M22" i="2"/>
  <c r="F24" i="3"/>
  <c r="I24" i="3"/>
  <c r="M24" i="3"/>
  <c r="F24" i="4"/>
  <c r="I24" i="4"/>
  <c r="M24" i="4"/>
  <c r="F24" i="5"/>
  <c r="I24" i="5"/>
  <c r="M24" i="5"/>
  <c r="F24" i="6"/>
  <c r="I24" i="6"/>
  <c r="M24" i="6"/>
  <c r="F24" i="7"/>
  <c r="I24" i="7"/>
  <c r="M24" i="7"/>
  <c r="F24" i="8"/>
  <c r="I24" i="8"/>
  <c r="M24" i="8"/>
  <c r="F24" i="9"/>
  <c r="I24" i="9"/>
  <c r="M24" i="9"/>
  <c r="J28" i="1"/>
  <c r="J28" i="3"/>
  <c r="M23" i="1"/>
  <c r="F23" i="2"/>
  <c r="I23" i="2"/>
  <c r="M23" i="2"/>
  <c r="F23" i="3"/>
  <c r="I23" i="3"/>
  <c r="M23" i="3"/>
  <c r="F23" i="4"/>
  <c r="I23" i="4"/>
  <c r="M23" i="4"/>
  <c r="F23" i="5"/>
  <c r="I23" i="5"/>
  <c r="M23" i="5"/>
  <c r="F23" i="6"/>
  <c r="I23" i="6"/>
  <c r="M23" i="6"/>
  <c r="F23" i="7"/>
  <c r="I23" i="7"/>
  <c r="M23" i="7"/>
  <c r="F23" i="8"/>
  <c r="I23" i="8"/>
  <c r="M23" i="8"/>
  <c r="F23" i="9"/>
  <c r="I23" i="9"/>
  <c r="M23" i="9"/>
  <c r="M19" i="1"/>
  <c r="F19" i="2"/>
  <c r="I19" i="2"/>
  <c r="M19" i="2"/>
  <c r="F19" i="3"/>
  <c r="I19" i="3"/>
  <c r="M19" i="3"/>
  <c r="F22" i="3"/>
  <c r="I22" i="3"/>
  <c r="M22" i="3"/>
  <c r="F22" i="4"/>
  <c r="I22" i="4"/>
  <c r="M22" i="4"/>
  <c r="F22" i="5"/>
  <c r="I22" i="5"/>
  <c r="M22" i="5"/>
  <c r="F22" i="6"/>
  <c r="I22" i="6"/>
  <c r="M22" i="6"/>
  <c r="F22" i="7"/>
  <c r="I22" i="7"/>
  <c r="M22" i="7"/>
  <c r="F17" i="3"/>
  <c r="I17" i="3"/>
  <c r="M17" i="3"/>
  <c r="F17" i="4"/>
  <c r="I17" i="4"/>
  <c r="M17" i="4"/>
  <c r="F17" i="5"/>
  <c r="I17" i="5"/>
  <c r="M17" i="5"/>
  <c r="F17" i="6"/>
  <c r="I17" i="6"/>
  <c r="M17" i="6"/>
  <c r="F17" i="7"/>
  <c r="I17" i="7"/>
  <c r="M17" i="7"/>
  <c r="F17" i="8"/>
  <c r="I17" i="8"/>
  <c r="M17" i="8"/>
  <c r="F17" i="9"/>
  <c r="I17" i="9"/>
  <c r="M17" i="9"/>
  <c r="F14" i="3"/>
  <c r="I14" i="3"/>
  <c r="M14" i="3"/>
  <c r="F14" i="4"/>
  <c r="I14" i="4"/>
  <c r="M14" i="4"/>
  <c r="F14" i="5"/>
  <c r="I14" i="5"/>
  <c r="M14" i="5"/>
  <c r="F14" i="6"/>
  <c r="I14" i="6"/>
  <c r="M14" i="6"/>
  <c r="F14" i="7"/>
  <c r="I14" i="7"/>
  <c r="M14" i="7"/>
  <c r="F14" i="8"/>
  <c r="I14" i="8"/>
  <c r="M14" i="8"/>
  <c r="F14" i="9"/>
  <c r="I14" i="9"/>
  <c r="F28" i="1"/>
  <c r="M20" i="1"/>
  <c r="F20" i="2"/>
  <c r="I20" i="2"/>
  <c r="M20" i="2"/>
  <c r="F20" i="3"/>
  <c r="I20" i="3"/>
  <c r="M20" i="3"/>
  <c r="F20" i="4"/>
  <c r="I20" i="4"/>
  <c r="M20" i="4"/>
  <c r="F20" i="5"/>
  <c r="I20" i="5"/>
  <c r="M20" i="5"/>
  <c r="F20" i="6"/>
  <c r="I20" i="6"/>
  <c r="M20" i="6"/>
  <c r="F20" i="7"/>
  <c r="I20" i="7"/>
  <c r="M20" i="7"/>
  <c r="F20" i="8"/>
  <c r="I20" i="8"/>
  <c r="M20" i="8"/>
  <c r="F20" i="9"/>
  <c r="I20" i="9"/>
  <c r="M20" i="9"/>
  <c r="M25" i="1"/>
  <c r="F25" i="2"/>
  <c r="I25" i="2"/>
  <c r="M25" i="2"/>
  <c r="F25" i="3"/>
  <c r="I25" i="3"/>
  <c r="M25" i="3"/>
  <c r="F25" i="4"/>
  <c r="I25" i="4"/>
  <c r="M25" i="4"/>
  <c r="F25" i="5"/>
  <c r="I25" i="5"/>
  <c r="M25" i="5"/>
  <c r="F25" i="6"/>
  <c r="I25" i="6"/>
  <c r="M25" i="6"/>
  <c r="F25" i="7"/>
  <c r="I25" i="7"/>
  <c r="M25" i="7"/>
  <c r="F25" i="8"/>
  <c r="I25" i="8"/>
  <c r="M25" i="8"/>
  <c r="F25" i="9"/>
  <c r="I25" i="9"/>
  <c r="F13" i="2"/>
  <c r="I13" i="2"/>
  <c r="M13" i="2"/>
  <c r="F13" i="3"/>
  <c r="I13" i="3"/>
  <c r="M13" i="3"/>
  <c r="F13" i="4"/>
  <c r="I13" i="4"/>
  <c r="M13" i="4"/>
  <c r="F13" i="5"/>
  <c r="I13" i="5"/>
  <c r="M13" i="5"/>
  <c r="F13" i="6"/>
  <c r="I13" i="6"/>
  <c r="M13" i="6"/>
  <c r="F13" i="7"/>
  <c r="I13" i="7"/>
  <c r="M13" i="7"/>
  <c r="F13" i="8"/>
  <c r="I13" i="8"/>
  <c r="M13" i="8"/>
  <c r="F13" i="9"/>
  <c r="I13" i="9"/>
  <c r="J30" i="8"/>
  <c r="J39" i="8"/>
  <c r="M37" i="8"/>
  <c r="M15" i="9"/>
  <c r="M25" i="9"/>
  <c r="M13" i="9"/>
  <c r="M28" i="9" s="1"/>
  <c r="M14" i="9"/>
  <c r="J30" i="3"/>
  <c r="J39" i="3"/>
  <c r="J30" i="1"/>
  <c r="J36" i="1"/>
  <c r="J40" i="1"/>
  <c r="M40" i="1"/>
  <c r="J39" i="2"/>
  <c r="J28" i="6"/>
  <c r="J28" i="4"/>
  <c r="M10" i="1"/>
  <c r="I28" i="1"/>
  <c r="J50" i="1"/>
  <c r="J28" i="2"/>
  <c r="J28" i="5"/>
  <c r="M11" i="1"/>
  <c r="F11" i="2"/>
  <c r="I11" i="2"/>
  <c r="M11" i="2"/>
  <c r="F11" i="3"/>
  <c r="I11" i="3"/>
  <c r="M11" i="3"/>
  <c r="F11" i="4"/>
  <c r="I11" i="4"/>
  <c r="M11" i="4"/>
  <c r="F11" i="5"/>
  <c r="I11" i="5"/>
  <c r="M11" i="5"/>
  <c r="F11" i="6"/>
  <c r="I11" i="6"/>
  <c r="M11" i="6"/>
  <c r="F11" i="7"/>
  <c r="I11" i="7"/>
  <c r="M11" i="7"/>
  <c r="F11" i="8"/>
  <c r="I11" i="8"/>
  <c r="M11" i="8"/>
  <c r="F11" i="9"/>
  <c r="I11" i="9"/>
  <c r="M11" i="9"/>
  <c r="J30" i="9"/>
  <c r="J40" i="9"/>
  <c r="M40" i="9" s="1"/>
  <c r="J30" i="5"/>
  <c r="J36" i="5"/>
  <c r="J30" i="2"/>
  <c r="J37" i="2"/>
  <c r="J41" i="2"/>
  <c r="M41" i="2"/>
  <c r="J41" i="3"/>
  <c r="J43" i="3"/>
  <c r="M43" i="3"/>
  <c r="J40" i="4"/>
  <c r="J30" i="4"/>
  <c r="J38" i="4"/>
  <c r="M28" i="1"/>
  <c r="F10" i="2"/>
  <c r="J30" i="6"/>
  <c r="J35" i="6"/>
  <c r="J42" i="4"/>
  <c r="M42" i="4"/>
  <c r="J38" i="5"/>
  <c r="J40" i="5"/>
  <c r="M40" i="5"/>
  <c r="J37" i="6"/>
  <c r="J39" i="6"/>
  <c r="M39" i="6"/>
  <c r="J38" i="7"/>
  <c r="J40" i="7"/>
  <c r="M40" i="7"/>
  <c r="J41" i="8"/>
  <c r="J43" i="8"/>
  <c r="M43" i="8"/>
  <c r="J38" i="9"/>
  <c r="I10" i="2"/>
  <c r="F28" i="2"/>
  <c r="I28" i="2"/>
  <c r="J51" i="2"/>
  <c r="M10" i="2"/>
  <c r="F10" i="3"/>
  <c r="M28" i="2"/>
  <c r="F28" i="3"/>
  <c r="I10" i="3"/>
  <c r="I28" i="3"/>
  <c r="J53" i="3"/>
  <c r="M10" i="3"/>
  <c r="F10" i="4"/>
  <c r="M28" i="3"/>
  <c r="I10" i="4"/>
  <c r="F28" i="4"/>
  <c r="I28" i="4"/>
  <c r="J52" i="4"/>
  <c r="M10" i="4"/>
  <c r="F10" i="5"/>
  <c r="M28" i="4"/>
  <c r="F28" i="5"/>
  <c r="I10" i="5"/>
  <c r="I28" i="5"/>
  <c r="J50" i="5"/>
  <c r="M10" i="5"/>
  <c r="F10" i="6"/>
  <c r="M28" i="5"/>
  <c r="I10" i="6"/>
  <c r="F28" i="6"/>
  <c r="M10" i="6"/>
  <c r="I28" i="6"/>
  <c r="J49" i="6"/>
  <c r="F10" i="7"/>
  <c r="M28" i="6"/>
  <c r="F28" i="7"/>
  <c r="I10" i="7"/>
  <c r="M10" i="7"/>
  <c r="I28" i="7"/>
  <c r="J50" i="7"/>
  <c r="F10" i="8"/>
  <c r="M28" i="7"/>
  <c r="F28" i="8"/>
  <c r="I10" i="8"/>
  <c r="M10" i="8"/>
  <c r="I28" i="8"/>
  <c r="J53" i="8"/>
  <c r="M28" i="8"/>
  <c r="F10" i="9"/>
  <c r="I10" i="9"/>
  <c r="F28" i="9"/>
  <c r="M10" i="9"/>
  <c r="I28" i="9"/>
  <c r="J50" i="9"/>
  <c r="F28" i="10" l="1"/>
  <c r="J30" i="10"/>
  <c r="J35" i="10" s="1"/>
  <c r="J39" i="10" s="1"/>
  <c r="M39" i="10" s="1"/>
  <c r="I10" i="10"/>
  <c r="I28" i="10" l="1"/>
  <c r="J49" i="10" s="1"/>
  <c r="M10" i="10"/>
  <c r="M28" i="10" s="1"/>
</calcChain>
</file>

<file path=xl/sharedStrings.xml><?xml version="1.0" encoding="utf-8"?>
<sst xmlns="http://schemas.openxmlformats.org/spreadsheetml/2006/main" count="1752" uniqueCount="297">
  <si>
    <t xml:space="preserve">                                                            LOBBY ENTERPRISES</t>
  </si>
  <si>
    <t xml:space="preserve">                                                 PROPERTY MANAGERS AND ESTATE AGENTS</t>
  </si>
  <si>
    <t>P.O.BOX 11987</t>
  </si>
  <si>
    <t>APPHIA APARTMENTS</t>
  </si>
  <si>
    <t>TEL :</t>
  </si>
  <si>
    <t>STATEMENT OF ACCOUNT</t>
  </si>
  <si>
    <t xml:space="preserve"> </t>
  </si>
  <si>
    <t>NCBA PAYBILL '6432500027</t>
  </si>
  <si>
    <t xml:space="preserve">Caretaker </t>
  </si>
  <si>
    <t>KELVIN</t>
  </si>
  <si>
    <t xml:space="preserve">Phone no </t>
  </si>
  <si>
    <t>0714418782</t>
  </si>
  <si>
    <t>NAME</t>
  </si>
  <si>
    <t>CONTACT</t>
  </si>
  <si>
    <t>DEPOSIT PAID</t>
  </si>
  <si>
    <t>MONTHLY RENT</t>
  </si>
  <si>
    <t>BAL B/D</t>
  </si>
  <si>
    <t>GARBAGE</t>
  </si>
  <si>
    <t>WATER BILLS</t>
  </si>
  <si>
    <t>RENT DUE</t>
  </si>
  <si>
    <t>RENT PAID</t>
  </si>
  <si>
    <t>RCT NO</t>
  </si>
  <si>
    <t>PERIOD</t>
  </si>
  <si>
    <t>BALANCE</t>
  </si>
  <si>
    <t>STATUS</t>
  </si>
  <si>
    <t>FORMS</t>
  </si>
  <si>
    <t>A1</t>
  </si>
  <si>
    <t>MAULINE MALESI</t>
  </si>
  <si>
    <t>0743508108</t>
  </si>
  <si>
    <t>SIGNED</t>
  </si>
  <si>
    <t>THAMANDA</t>
  </si>
  <si>
    <t>A2</t>
  </si>
  <si>
    <t>PETER</t>
  </si>
  <si>
    <t>0719820676</t>
  </si>
  <si>
    <t>KINOO</t>
  </si>
  <si>
    <t>A3</t>
  </si>
  <si>
    <t>Chrispine ooko</t>
  </si>
  <si>
    <t>0712271588</t>
  </si>
  <si>
    <t>10TH</t>
  </si>
  <si>
    <t>KAGWE</t>
  </si>
  <si>
    <t>A4</t>
  </si>
  <si>
    <t>YASEER</t>
  </si>
  <si>
    <t>0783047456</t>
  </si>
  <si>
    <t>KIBALI</t>
  </si>
  <si>
    <t>A5</t>
  </si>
  <si>
    <t>NJENGA</t>
  </si>
  <si>
    <t>A6</t>
  </si>
  <si>
    <t>Vincent Mambili</t>
  </si>
  <si>
    <t>0710558651</t>
  </si>
  <si>
    <t>KANGETHE</t>
  </si>
  <si>
    <t>B1</t>
  </si>
  <si>
    <t>AMOS/STANLEY</t>
  </si>
  <si>
    <t>0729892835</t>
  </si>
  <si>
    <t>R.EAST</t>
  </si>
  <si>
    <t>B2</t>
  </si>
  <si>
    <t>PETER KARIUKI</t>
  </si>
  <si>
    <t>0723743290</t>
  </si>
  <si>
    <t>JAGIET</t>
  </si>
  <si>
    <t>B3</t>
  </si>
  <si>
    <t>CYTHIA</t>
  </si>
  <si>
    <t>0772369562</t>
  </si>
  <si>
    <t>GHETTO</t>
  </si>
  <si>
    <t>B4</t>
  </si>
  <si>
    <t>Bernice Yvonne</t>
  </si>
  <si>
    <t>0705481466</t>
  </si>
  <si>
    <t>NYALI</t>
  </si>
  <si>
    <t>B5</t>
  </si>
  <si>
    <t>George Kirigo</t>
  </si>
  <si>
    <t>APPHIA</t>
  </si>
  <si>
    <t>B6</t>
  </si>
  <si>
    <t>Dina Mdombi</t>
  </si>
  <si>
    <t>0704588355</t>
  </si>
  <si>
    <t>SPICES</t>
  </si>
  <si>
    <t>C1</t>
  </si>
  <si>
    <t>GEOFFREY OMUSE</t>
  </si>
  <si>
    <t>0748039842</t>
  </si>
  <si>
    <t>FRANCIS</t>
  </si>
  <si>
    <t>C2</t>
  </si>
  <si>
    <t>Esther John</t>
  </si>
  <si>
    <t>0723307353</t>
  </si>
  <si>
    <t>JAMES</t>
  </si>
  <si>
    <t>C3</t>
  </si>
  <si>
    <t>DICKSON ZAWADI</t>
  </si>
  <si>
    <t>0757132539*</t>
  </si>
  <si>
    <t>ADRIAN</t>
  </si>
  <si>
    <t>C4</t>
  </si>
  <si>
    <t>JAMES BETHUEL</t>
  </si>
  <si>
    <t>0724771903</t>
  </si>
  <si>
    <t>C5</t>
  </si>
  <si>
    <t>ISAAC ARABU</t>
  </si>
  <si>
    <t>0745762814</t>
  </si>
  <si>
    <t>C6</t>
  </si>
  <si>
    <t>CARETAKER</t>
  </si>
  <si>
    <t>Totals</t>
  </si>
  <si>
    <t xml:space="preserve">Less Management fees </t>
  </si>
  <si>
    <t>TOKENS</t>
  </si>
  <si>
    <t xml:space="preserve">  </t>
  </si>
  <si>
    <t xml:space="preserve">Waterbill </t>
  </si>
  <si>
    <t>TOTAL DEDUCTIONS</t>
  </si>
  <si>
    <t>BAL B/F</t>
  </si>
  <si>
    <t>Paid</t>
  </si>
  <si>
    <t>Balance</t>
  </si>
  <si>
    <t>Amount Due</t>
  </si>
  <si>
    <t>AUTHORISED BY JOSEPH GITHINJI</t>
  </si>
  <si>
    <t>JAN</t>
  </si>
  <si>
    <t xml:space="preserve">                                                              JAN 2026</t>
  </si>
  <si>
    <t>UA3QM2URZQ</t>
  </si>
  <si>
    <t>9889/1845</t>
  </si>
  <si>
    <t>UA5P02TYNA</t>
  </si>
  <si>
    <t>UA5DA2TWRR</t>
  </si>
  <si>
    <t>UA7O733CZ7</t>
  </si>
  <si>
    <t>VACANT</t>
  </si>
  <si>
    <t>UAH0E3YW9O</t>
  </si>
  <si>
    <t>UAMJX4DV8Z</t>
  </si>
  <si>
    <t>0710152025</t>
  </si>
  <si>
    <t>UA87C368DX/UAO7C4LXMD</t>
  </si>
  <si>
    <t>1018(13TH DEC)</t>
  </si>
  <si>
    <t>UAADW3F5WR</t>
  </si>
  <si>
    <t>UA9CS36V5B</t>
  </si>
  <si>
    <t>UA57O2UEAZ</t>
  </si>
  <si>
    <t>UA9MM3DUJY</t>
  </si>
  <si>
    <t>SILK/FILLER/WAGE/UNDERCOAT HSE A5</t>
  </si>
  <si>
    <t>WATER METER CLEANING</t>
  </si>
  <si>
    <t>UAAOC3DUHE/UAGOC400QS/UALOC4E7WL/UAUEZ5DCKM</t>
  </si>
  <si>
    <t>LOCKED</t>
  </si>
  <si>
    <t>FEB</t>
  </si>
  <si>
    <t xml:space="preserve">                                                              FEB 2026</t>
  </si>
  <si>
    <t>UB4DA5KJGR</t>
  </si>
  <si>
    <t>UB5CS5M4RG</t>
  </si>
  <si>
    <t>2071/1234</t>
  </si>
  <si>
    <t>UB5P05OXV9</t>
  </si>
  <si>
    <t>UB57O5Q0TQ</t>
  </si>
  <si>
    <t>UB5DW5VGGL</t>
  </si>
  <si>
    <t>UB6QM613N8</t>
  </si>
  <si>
    <t>UB8O763KBV</t>
  </si>
  <si>
    <t>ABDUL RAHMAN</t>
  </si>
  <si>
    <t>0725903270/0751934076</t>
  </si>
  <si>
    <t>MARCH BOOKING</t>
  </si>
  <si>
    <t>3738</t>
  </si>
  <si>
    <t>UB9MM6BKW0</t>
  </si>
  <si>
    <t>UBD0E6JSXO</t>
  </si>
  <si>
    <t>UB9U978F2Q</t>
  </si>
  <si>
    <t>UBF7C6OJFF/UBJ7C72KW3</t>
  </si>
  <si>
    <t>UBCJX6EVCQ/UBLJX79S3H</t>
  </si>
  <si>
    <t>UB4SB76D2E</t>
  </si>
  <si>
    <t>UB9S02QUM6/UBO717EX9D</t>
  </si>
  <si>
    <t>KPLC METER REPAIR</t>
  </si>
  <si>
    <t>CISTERN REPAIR/WAGE HSE A2</t>
  </si>
  <si>
    <t>UB9EZ6CCBG/UBAEZ6GYY4/UBLEZ7G8TW/UBSEZ845VL</t>
  </si>
  <si>
    <t>KURIA GARBAGE</t>
  </si>
  <si>
    <t>MAR</t>
  </si>
  <si>
    <t xml:space="preserve">                                                              MAR 2026</t>
  </si>
  <si>
    <t>2ND MAR</t>
  </si>
  <si>
    <t>UC5P08BRLO</t>
  </si>
  <si>
    <t>UC5DA8A4LQ</t>
  </si>
  <si>
    <t>UC57C8FHP3</t>
  </si>
  <si>
    <t>UC57O8CRX2</t>
  </si>
  <si>
    <t>UC6DW8JI5G</t>
  </si>
  <si>
    <t>UC9MM8ZAZC</t>
  </si>
  <si>
    <t>UC9JC8WLKK</t>
  </si>
  <si>
    <t>UC9U98EHCI</t>
  </si>
  <si>
    <t>UCAO78V57O</t>
  </si>
  <si>
    <t>ELECTRICAL (IAN)/UCA2H98O2Y</t>
  </si>
  <si>
    <t>ELECTRICAL REPAIRS HSE B3</t>
  </si>
  <si>
    <t>UCAQM9270R</t>
  </si>
  <si>
    <t>UCB718UDOB</t>
  </si>
  <si>
    <t>UCG0E9F9L4</t>
  </si>
  <si>
    <t>MAGIC CONNECTOR/WAGE</t>
  </si>
  <si>
    <t>GATE WELDING REPAIR/TAMPER CODE REQUEST/METER REPAIR</t>
  </si>
  <si>
    <t>APR</t>
  </si>
  <si>
    <t xml:space="preserve">                                                              APR 2026</t>
  </si>
  <si>
    <t>UD27CBALZO</t>
  </si>
  <si>
    <t>CYTHIA MADESHE</t>
  </si>
  <si>
    <t>UD3DABB9DL</t>
  </si>
  <si>
    <t>UD57OBM6LG</t>
  </si>
  <si>
    <t>UD6CSBJMO9</t>
  </si>
  <si>
    <t>UD7JC04NGE</t>
  </si>
  <si>
    <t>UD8O702NBD</t>
  </si>
  <si>
    <t>UD7DW04LAB</t>
  </si>
  <si>
    <t>RCTD</t>
  </si>
  <si>
    <t>2701/'0812</t>
  </si>
  <si>
    <t>UD8U99N8XP</t>
  </si>
  <si>
    <t>UCACS8OZDV</t>
  </si>
  <si>
    <t>UC2EZ8C47K/UCA5C8Z7IR/UCD5C9AAE4/UCRMEAMTKJ</t>
  </si>
  <si>
    <t>UD32HBT1PK/UD82H0IKY1</t>
  </si>
  <si>
    <t>UD8QM07VHW</t>
  </si>
  <si>
    <t>UD4P0BH2IF</t>
  </si>
  <si>
    <t>UDH0E13M0X</t>
  </si>
  <si>
    <t>UD671BLAE4/UDC710FRQZ/UDH710XBTJ</t>
  </si>
  <si>
    <t>UDA5C0EXG9/UDK5C1JBQQ</t>
  </si>
  <si>
    <t>UDAJX0BU4O/UDMJX1KT77</t>
  </si>
  <si>
    <t>DEPOSIT REFUND HSE A5</t>
  </si>
  <si>
    <t>SQUIZER/SOFT BROOM</t>
  </si>
  <si>
    <t>MAY</t>
  </si>
  <si>
    <t xml:space="preserve">                                                              MAY 2026</t>
  </si>
  <si>
    <t>UE4O732N82</t>
  </si>
  <si>
    <t>UE5DA31OLT</t>
  </si>
  <si>
    <t>UE57O334R8</t>
  </si>
  <si>
    <t>8841/7464</t>
  </si>
  <si>
    <t>UE6P037FKM</t>
  </si>
  <si>
    <t>UE67C39Q5Q</t>
  </si>
  <si>
    <t>UE6DW3FYEW</t>
  </si>
  <si>
    <t>UE70E39STQ</t>
  </si>
  <si>
    <t>UE7JC3LXVA</t>
  </si>
  <si>
    <t>UE7QM3IRWS</t>
  </si>
  <si>
    <t>UE8U9AWZ5V</t>
  </si>
  <si>
    <t>UE52H3M9F3/UEB2HH4AOVW</t>
  </si>
  <si>
    <t>UEFCS3ZVWP</t>
  </si>
  <si>
    <t>UED5C49NO3/UEI5C4RSTJ</t>
  </si>
  <si>
    <t>UEL714QH58</t>
  </si>
  <si>
    <t>UERS03O0ZA</t>
  </si>
  <si>
    <t>PUMP SERVICE/FITTINGS/WAGE</t>
  </si>
  <si>
    <t>JUNE</t>
  </si>
  <si>
    <t xml:space="preserve">                                                              JUNE 2026</t>
  </si>
  <si>
    <t>LOCKED TO EVICT</t>
  </si>
  <si>
    <t>UF5JC6WSF9</t>
  </si>
  <si>
    <t>UF40E6I351</t>
  </si>
  <si>
    <t>UF5DA6IHY8</t>
  </si>
  <si>
    <t>UF5QM6UWYT</t>
  </si>
  <si>
    <t>UF52HH78U7Z</t>
  </si>
  <si>
    <t>UF57O6N91H</t>
  </si>
  <si>
    <t>UF6ME6VEFQ/UF7ME711K3</t>
  </si>
  <si>
    <t>UF8716SXZ5</t>
  </si>
  <si>
    <t>UF8U90DKO7</t>
  </si>
  <si>
    <t>UF9O77AYEM</t>
  </si>
  <si>
    <t>UFA7C7A769</t>
  </si>
  <si>
    <t>UFGCS7MH0F</t>
  </si>
  <si>
    <t>UFB5C7HBIL/UFPOC959X2</t>
  </si>
  <si>
    <t>0214</t>
  </si>
  <si>
    <t>JULY</t>
  </si>
  <si>
    <t xml:space="preserve">                                                              JULY 2026</t>
  </si>
  <si>
    <t>UG65NAAG5S</t>
  </si>
  <si>
    <t>UG57OA3NJ6</t>
  </si>
  <si>
    <t>UG5DA9ZGX5</t>
  </si>
  <si>
    <t>UG6QMAGTML</t>
  </si>
  <si>
    <t>UG62HAVDNQ</t>
  </si>
  <si>
    <t>UG7CSA21D3</t>
  </si>
  <si>
    <t>UG7O7AJKGB</t>
  </si>
  <si>
    <t>UG8JCARFLV</t>
  </si>
  <si>
    <t>UG8U91Q1RP</t>
  </si>
  <si>
    <t>7456/8918</t>
  </si>
  <si>
    <t>UG8MEAMQ99</t>
  </si>
  <si>
    <t>UG97CANJFE</t>
  </si>
  <si>
    <t>UGF71B188C</t>
  </si>
  <si>
    <t>UG6OCAC1IO/UGFOCBDGET</t>
  </si>
  <si>
    <t>UGBCIAZ23T</t>
  </si>
  <si>
    <t>BOREHOLE WATER RECONNECTION &amp; WAGE</t>
  </si>
  <si>
    <t>AUG</t>
  </si>
  <si>
    <t xml:space="preserve">                                                              AUG 2026</t>
  </si>
  <si>
    <t>UH22H2267L</t>
  </si>
  <si>
    <t>9526(COOP BANK)</t>
  </si>
  <si>
    <t>1729/3044</t>
  </si>
  <si>
    <t>UH57O1NYNE</t>
  </si>
  <si>
    <t>UH5P01P4PR</t>
  </si>
  <si>
    <t>UH7U936VZN</t>
  </si>
  <si>
    <t>UH8ME272XA</t>
  </si>
  <si>
    <t>UHA0E288BJ</t>
  </si>
  <si>
    <t>UHHCI3AEZ0</t>
  </si>
  <si>
    <t>UHK71359N2</t>
  </si>
  <si>
    <t>UH8OC25LCL/UGVOC189CA</t>
  </si>
  <si>
    <t>UH3DA1CPF2</t>
  </si>
  <si>
    <t>UHB7C2EZEY</t>
  </si>
  <si>
    <t>PLUMBING WAGE FOR TANKS</t>
  </si>
  <si>
    <t>PAINT REVAMP HSE C5 AND HSE B3</t>
  </si>
  <si>
    <t>MATERIALS USED ON TANKSBALLCOCK/GI ELBOW/GI SOCKET/THREAD TAPE/GI BACKNUT</t>
  </si>
  <si>
    <t>SOCKET/SILLICONE HSE B5 REPAIR</t>
  </si>
  <si>
    <t>SEP</t>
  </si>
  <si>
    <t xml:space="preserve">                                                              SEP 2026</t>
  </si>
  <si>
    <t>UI4P056Z2Z</t>
  </si>
  <si>
    <t>UI2FC5GSO9/UI2FC5GXLP</t>
  </si>
  <si>
    <t>UI5DA56NMM</t>
  </si>
  <si>
    <t>UI5QL5JXEM</t>
  </si>
  <si>
    <t>UI57O58W0O</t>
  </si>
  <si>
    <t>UI7ME5SBT5</t>
  </si>
  <si>
    <t>0742093844</t>
  </si>
  <si>
    <t>UI7U94RRGA</t>
  </si>
  <si>
    <t>UHUCT558D5</t>
  </si>
  <si>
    <t>UI47C56WZM/UIH7C6N46S</t>
  </si>
  <si>
    <t>UI9IY664O8/UG9IYAXVPA</t>
  </si>
  <si>
    <t>STEPHEN NGANGA</t>
  </si>
  <si>
    <t>HARRISON KAGO</t>
  </si>
  <si>
    <t>2626</t>
  </si>
  <si>
    <t>0757132539</t>
  </si>
  <si>
    <t>0704543562</t>
  </si>
  <si>
    <t>UI8715GO16/UIP717HI9E</t>
  </si>
  <si>
    <t>UI8ME5VSZZ/ UISOC86KOH</t>
  </si>
  <si>
    <t>PAINT REVAMP HSE C1/BULB HOLDERS/MAGIC CONNECTOR/SCREWS/MAGIC CONNECTOR(C5/B3)</t>
  </si>
  <si>
    <t>UI72H68VAE/UIT2H8U1VF</t>
  </si>
  <si>
    <t>KELVIN OSEMBO</t>
  </si>
  <si>
    <t>0713098540</t>
  </si>
  <si>
    <t>UHS5N4E63B/UI4AX5HSCE/U9046/5060</t>
  </si>
  <si>
    <t>UIQCI833KA/UIHCI6WI01</t>
  </si>
  <si>
    <t>TO EVICT</t>
  </si>
  <si>
    <t>OCT</t>
  </si>
  <si>
    <t xml:space="preserve">                                                              OCT 2026</t>
  </si>
  <si>
    <t>UJ2FC933EP/UJ2FC9390G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</si>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</sst>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1" xfId="1" applyNumberFormat="1" applyFont="1" applyFill="1" applyBorder="1"/>
    <xf numFmtId="164" fontId="2" fillId="0" borderId="1" xfId="1" applyNumberFormat="1" applyFont="1" applyFill="1" applyBorder="1"/>
    <xf numFmtId="164" fontId="3" fillId="0" borderId="1" xfId="1" applyNumberFormat="1" applyFont="1" applyFill="1" applyBorder="1"/>
    <xf numFmtId="43" fontId="3" fillId="0" borderId="1" xfId="1" applyFont="1" applyFill="1" applyBorder="1"/>
    <xf numFmtId="43" fontId="2" fillId="0" borderId="1" xfId="1" applyFont="1" applyFill="1" applyBorder="1"/>
    <xf numFmtId="0" fontId="2" fillId="0" borderId="1" xfId="1" applyNumberFormat="1" applyFont="1" applyFill="1" applyBorder="1" applyAlignment="1">
      <alignment horizontal="left"/>
    </xf>
    <xf numFmtId="0" fontId="1" fillId="0" borderId="1" xfId="0" applyFont="1" applyBorder="1"/>
    <xf numFmtId="0" fontId="4" fillId="0" borderId="0" xfId="0" applyFont="1"/>
    <xf numFmtId="0" fontId="5" fillId="0" borderId="1" xfId="1" applyNumberFormat="1" applyFont="1" applyFill="1" applyBorder="1"/>
    <xf numFmtId="164" fontId="5" fillId="0" borderId="1" xfId="1" applyNumberFormat="1" applyFont="1" applyFill="1" applyBorder="1"/>
    <xf numFmtId="43" fontId="5" fillId="0" borderId="1" xfId="1" applyFont="1" applyFill="1" applyBorder="1"/>
    <xf numFmtId="0" fontId="5" fillId="0" borderId="1" xfId="1" applyNumberFormat="1" applyFont="1" applyFill="1" applyBorder="1" applyAlignment="1">
      <alignment horizontal="left"/>
    </xf>
    <xf numFmtId="0" fontId="3" fillId="0" borderId="1" xfId="1" applyNumberFormat="1" applyFont="1" applyFill="1" applyBorder="1"/>
    <xf numFmtId="165" fontId="5" fillId="0" borderId="1" xfId="1" applyNumberFormat="1" applyFont="1" applyFill="1" applyBorder="1"/>
    <xf numFmtId="0" fontId="5" fillId="0" borderId="1" xfId="1" quotePrefix="1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6" fillId="0" borderId="1" xfId="0" applyFont="1" applyBorder="1"/>
    <xf numFmtId="0" fontId="7" fillId="0" borderId="1" xfId="1" applyNumberFormat="1" applyFont="1" applyFill="1" applyBorder="1"/>
    <xf numFmtId="164" fontId="5" fillId="0" borderId="1" xfId="1" quotePrefix="1" applyNumberFormat="1" applyFont="1" applyFill="1" applyBorder="1"/>
    <xf numFmtId="165" fontId="7" fillId="0" borderId="1" xfId="1" applyNumberFormat="1" applyFont="1" applyFill="1" applyBorder="1"/>
    <xf numFmtId="0" fontId="5" fillId="0" borderId="1" xfId="0" applyFont="1" applyBorder="1"/>
    <xf numFmtId="0" fontId="7" fillId="0" borderId="1" xfId="1" quotePrefix="1" applyNumberFormat="1" applyFont="1" applyFill="1" applyBorder="1" applyAlignment="1">
      <alignment horizontal="left"/>
    </xf>
    <xf numFmtId="165" fontId="7" fillId="0" borderId="1" xfId="1" applyNumberFormat="1" applyFont="1" applyFill="1" applyBorder="1" applyAlignment="1">
      <alignment horizontal="right"/>
    </xf>
    <xf numFmtId="3" fontId="7" fillId="0" borderId="1" xfId="1" applyNumberFormat="1" applyFont="1" applyFill="1" applyBorder="1" applyAlignment="1"/>
    <xf numFmtId="43" fontId="7" fillId="0" borderId="1" xfId="1" applyFont="1" applyFill="1" applyBorder="1"/>
    <xf numFmtId="0" fontId="7" fillId="0" borderId="1" xfId="1" applyNumberFormat="1" applyFont="1" applyFill="1" applyBorder="1" applyAlignment="1">
      <alignment horizontal="left"/>
    </xf>
    <xf numFmtId="164" fontId="7" fillId="0" borderId="1" xfId="1" quotePrefix="1" applyNumberFormat="1" applyFont="1" applyFill="1" applyBorder="1"/>
    <xf numFmtId="43" fontId="8" fillId="0" borderId="1" xfId="1" applyFont="1" applyFill="1" applyBorder="1"/>
    <xf numFmtId="0" fontId="7" fillId="0" borderId="2" xfId="1" applyNumberFormat="1" applyFont="1" applyFill="1" applyBorder="1"/>
    <xf numFmtId="165" fontId="9" fillId="0" borderId="0" xfId="1" applyNumberFormat="1" applyFont="1"/>
    <xf numFmtId="0" fontId="8" fillId="0" borderId="2" xfId="1" applyNumberFormat="1" applyFont="1" applyFill="1" applyBorder="1"/>
    <xf numFmtId="164" fontId="8" fillId="0" borderId="1" xfId="1" applyNumberFormat="1" applyFont="1" applyFill="1" applyBorder="1"/>
    <xf numFmtId="165" fontId="8" fillId="0" borderId="1" xfId="1" applyNumberFormat="1" applyFont="1" applyFill="1" applyBorder="1"/>
    <xf numFmtId="165" fontId="3" fillId="0" borderId="1" xfId="0" applyNumberFormat="1" applyFont="1" applyBorder="1"/>
    <xf numFmtId="165" fontId="8" fillId="0" borderId="1" xfId="1" applyNumberFormat="1" applyFont="1" applyFill="1" applyBorder="1" applyAlignment="1">
      <alignment horizontal="left"/>
    </xf>
    <xf numFmtId="3" fontId="8" fillId="0" borderId="1" xfId="1" applyNumberFormat="1" applyFont="1" applyFill="1" applyBorder="1" applyAlignment="1"/>
    <xf numFmtId="166" fontId="5" fillId="0" borderId="1" xfId="1" applyNumberFormat="1" applyFont="1" applyFill="1" applyBorder="1"/>
    <xf numFmtId="165" fontId="3" fillId="0" borderId="1" xfId="1" applyNumberFormat="1" applyFont="1" applyFill="1" applyBorder="1"/>
    <xf numFmtId="165" fontId="3" fillId="0" borderId="1" xfId="1" applyNumberFormat="1" applyFont="1" applyFill="1" applyBorder="1" applyAlignment="1">
      <alignment horizontal="center"/>
    </xf>
    <xf numFmtId="3" fontId="3" fillId="0" borderId="1" xfId="1" applyNumberFormat="1" applyFont="1" applyFill="1" applyBorder="1" applyAlignment="1">
      <alignment horizontal="center"/>
    </xf>
    <xf numFmtId="3" fontId="3" fillId="0" borderId="1" xfId="1" applyNumberFormat="1" applyFont="1" applyFill="1" applyBorder="1"/>
    <xf numFmtId="0" fontId="8" fillId="0" borderId="1" xfId="1" applyNumberFormat="1" applyFont="1" applyFill="1" applyBorder="1"/>
    <xf numFmtId="165" fontId="8" fillId="0" borderId="1" xfId="1" applyNumberFormat="1" applyFont="1" applyFill="1" applyBorder="1" applyAlignment="1">
      <alignment horizontal="center"/>
    </xf>
    <xf numFmtId="3" fontId="8" fillId="0" borderId="1" xfId="1" applyNumberFormat="1" applyFont="1" applyFill="1" applyBorder="1" applyAlignment="1">
      <alignment horizontal="center"/>
    </xf>
    <xf numFmtId="3" fontId="8" fillId="0" borderId="1" xfId="1" applyNumberFormat="1" applyFont="1" applyFill="1" applyBorder="1"/>
    <xf numFmtId="0" fontId="10" fillId="0" borderId="1" xfId="1" applyNumberFormat="1" applyFont="1" applyFill="1" applyBorder="1"/>
    <xf numFmtId="164" fontId="10" fillId="0" borderId="1" xfId="1" applyNumberFormat="1" applyFont="1" applyFill="1" applyBorder="1"/>
    <xf numFmtId="165" fontId="10" fillId="0" borderId="1" xfId="1" applyNumberFormat="1" applyFont="1" applyFill="1" applyBorder="1"/>
    <xf numFmtId="0" fontId="10" fillId="0" borderId="1" xfId="1" applyNumberFormat="1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left"/>
    </xf>
    <xf numFmtId="14" fontId="3" fillId="0" borderId="1" xfId="1" applyNumberFormat="1" applyFont="1" applyFill="1" applyBorder="1"/>
    <xf numFmtId="14" fontId="5" fillId="0" borderId="1" xfId="1" applyNumberFormat="1" applyFont="1" applyFill="1" applyBorder="1"/>
    <xf numFmtId="0" fontId="9" fillId="0" borderId="0" xfId="0" applyFont="1"/>
    <xf numFmtId="165" fontId="4" fillId="0" borderId="0" xfId="0" applyNumberFormat="1" applyFont="1"/>
    <xf numFmtId="43" fontId="4" fillId="0" borderId="0" xfId="0" applyNumberFormat="1" applyFont="1"/>
    <xf numFmtId="0" fontId="7" fillId="2" borderId="1" xfId="1" applyNumberFormat="1" applyFont="1" applyFill="1" applyBorder="1" applyAlignment="1">
      <alignment horizontal="left"/>
    </xf>
    <xf numFmtId="0" fontId="7" fillId="2" borderId="1" xfId="1" quotePrefix="1" applyNumberFormat="1" applyFont="1" applyFill="1" applyBorder="1" applyAlignment="1">
      <alignment horizontal="left"/>
    </xf>
    <xf numFmtId="165" fontId="7" fillId="3" borderId="1" xfId="1" applyNumberFormat="1" applyFont="1" applyFill="1" applyBorder="1"/>
    <xf numFmtId="0" fontId="7" fillId="3" borderId="1" xfId="1" quotePrefix="1" applyNumberFormat="1" applyFont="1" applyFill="1" applyBorder="1" applyAlignment="1">
      <alignment horizontal="left"/>
    </xf>
    <xf numFmtId="165" fontId="7" fillId="3" borderId="1" xfId="1" applyNumberFormat="1" applyFont="1" applyFill="1" applyBorder="1" applyAlignment="1">
      <alignment horizontal="right"/>
    </xf>
    <xf numFmtId="0" fontId="7" fillId="3" borderId="1" xfId="1" applyNumberFormat="1" applyFont="1" applyFill="1" applyBorder="1" applyAlignment="1">
      <alignment horizontal="left"/>
    </xf>
    <xf numFmtId="165" fontId="5" fillId="3" borderId="1" xfId="1" applyNumberFormat="1" applyFont="1" applyFill="1" applyBorder="1"/>
    <xf numFmtId="3" fontId="4" fillId="0" borderId="0" xfId="0" applyNumberFormat="1" applyFont="1"/>
    <xf numFmtId="165" fontId="7" fillId="2" borderId="1" xfId="1" applyNumberFormat="1" applyFont="1" applyFill="1" applyBorder="1"/>
    <xf numFmtId="165" fontId="5" fillId="2" borderId="1" xfId="1" applyNumberFormat="1" applyFont="1" applyFill="1" applyBorder="1"/>
    <xf numFmtId="164" fontId="2" fillId="0" borderId="1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c4013377bf6ed3a/LOBBY%20LINKED/LOBBY%202025/NAIROBI/APPHIA%20(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0">
          <cell r="M20">
            <v>0</v>
          </cell>
        </row>
        <row r="25">
          <cell r="M25">
            <v>250</v>
          </cell>
        </row>
        <row r="39">
          <cell r="M39">
            <v>-800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opLeftCell="A2" zoomScale="81" zoomScaleNormal="80" workbookViewId="0">
      <selection activeCell="F21" sqref="F21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8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8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8" ht="15" x14ac:dyDescent="0.25">
      <c r="A3" s="67" t="s">
        <v>105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8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8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8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8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8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8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8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v>-7600</v>
      </c>
      <c r="G10" s="21">
        <v>100</v>
      </c>
      <c r="H10" s="22">
        <v>500</v>
      </c>
      <c r="I10" s="21">
        <f>D10+E10+F10+G10+H10</f>
        <v>500</v>
      </c>
      <c r="J10" s="21"/>
      <c r="K10" s="23"/>
      <c r="L10" s="24" t="s">
        <v>104</v>
      </c>
      <c r="M10" s="25">
        <f>I10-J10</f>
        <v>500</v>
      </c>
      <c r="N10" s="26"/>
      <c r="O10" s="22" t="s">
        <v>29</v>
      </c>
      <c r="Q10" s="8" t="s">
        <v>30</v>
      </c>
      <c r="R10" s="8">
        <v>150000</v>
      </c>
    </row>
    <row r="11" spans="1:18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v>700</v>
      </c>
      <c r="G11" s="21">
        <v>100</v>
      </c>
      <c r="H11" s="21">
        <v>250</v>
      </c>
      <c r="I11" s="21">
        <f t="shared" ref="I11:I27" si="0">D11+E11+F11+G11+H11</f>
        <v>8550</v>
      </c>
      <c r="J11" s="21">
        <f>8000</f>
        <v>8000</v>
      </c>
      <c r="K11" s="27" t="s">
        <v>116</v>
      </c>
      <c r="L11" s="24" t="s">
        <v>104</v>
      </c>
      <c r="M11" s="25">
        <f t="shared" ref="M11:M27" si="1">I11-J11</f>
        <v>550</v>
      </c>
      <c r="N11" s="26"/>
      <c r="O11" s="22" t="s">
        <v>29</v>
      </c>
      <c r="Q11" s="8" t="s">
        <v>34</v>
      </c>
      <c r="R11" s="8">
        <v>50000</v>
      </c>
    </row>
    <row r="12" spans="1:18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v>600</v>
      </c>
      <c r="G12" s="21">
        <v>100</v>
      </c>
      <c r="H12" s="21">
        <v>500</v>
      </c>
      <c r="I12" s="21">
        <f t="shared" si="0"/>
        <v>8700</v>
      </c>
      <c r="J12" s="14">
        <f>8000</f>
        <v>8000</v>
      </c>
      <c r="K12" s="57" t="s">
        <v>112</v>
      </c>
      <c r="L12" s="24" t="s">
        <v>104</v>
      </c>
      <c r="M12" s="25">
        <f t="shared" si="1"/>
        <v>700</v>
      </c>
      <c r="N12" s="25" t="s">
        <v>38</v>
      </c>
      <c r="O12" s="22" t="s">
        <v>29</v>
      </c>
      <c r="Q12" s="8" t="s">
        <v>39</v>
      </c>
      <c r="R12" s="8">
        <v>140208</v>
      </c>
    </row>
    <row r="13" spans="1:18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v>-300</v>
      </c>
      <c r="G13" s="21">
        <v>100</v>
      </c>
      <c r="H13" s="21">
        <v>0</v>
      </c>
      <c r="I13" s="21">
        <f t="shared" si="0"/>
        <v>7300</v>
      </c>
      <c r="J13" s="14">
        <f>7500</f>
        <v>7500</v>
      </c>
      <c r="K13" s="57" t="s">
        <v>113</v>
      </c>
      <c r="L13" s="24" t="s">
        <v>104</v>
      </c>
      <c r="M13" s="25">
        <f t="shared" si="1"/>
        <v>-200</v>
      </c>
      <c r="N13" s="26"/>
      <c r="O13" s="22" t="s">
        <v>29</v>
      </c>
      <c r="Q13" s="8" t="s">
        <v>43</v>
      </c>
      <c r="R13" s="8">
        <v>32850</v>
      </c>
    </row>
    <row r="14" spans="1:18" x14ac:dyDescent="0.2">
      <c r="A14" s="19" t="s">
        <v>44</v>
      </c>
      <c r="B14" s="9" t="s">
        <v>111</v>
      </c>
      <c r="C14" s="28"/>
      <c r="D14" s="21"/>
      <c r="E14" s="21"/>
      <c r="F14" s="21"/>
      <c r="G14" s="21"/>
      <c r="H14" s="21">
        <v>0</v>
      </c>
      <c r="I14" s="21">
        <f t="shared" si="0"/>
        <v>0</v>
      </c>
      <c r="J14" s="21"/>
      <c r="K14" s="27"/>
      <c r="L14" s="24" t="s">
        <v>104</v>
      </c>
      <c r="M14" s="25">
        <f t="shared" si="1"/>
        <v>0</v>
      </c>
      <c r="N14" s="26"/>
      <c r="O14" s="22" t="s">
        <v>29</v>
      </c>
      <c r="Q14" s="8" t="s">
        <v>45</v>
      </c>
      <c r="R14" s="8">
        <v>32160</v>
      </c>
    </row>
    <row r="15" spans="1:18" x14ac:dyDescent="0.2">
      <c r="A15" s="19" t="s">
        <v>46</v>
      </c>
      <c r="B15" s="9" t="s">
        <v>47</v>
      </c>
      <c r="C15" s="20" t="s">
        <v>48</v>
      </c>
      <c r="D15" s="21">
        <v>0</v>
      </c>
      <c r="E15" s="21">
        <v>7500</v>
      </c>
      <c r="F15" s="21">
        <v>950</v>
      </c>
      <c r="G15" s="21">
        <v>100</v>
      </c>
      <c r="H15" s="21">
        <v>250</v>
      </c>
      <c r="I15" s="21">
        <f t="shared" si="0"/>
        <v>8800</v>
      </c>
      <c r="J15" s="21">
        <f>8800</f>
        <v>8800</v>
      </c>
      <c r="K15" s="57" t="s">
        <v>117</v>
      </c>
      <c r="L15" s="24" t="s">
        <v>104</v>
      </c>
      <c r="M15" s="25">
        <f t="shared" si="1"/>
        <v>0</v>
      </c>
      <c r="N15" s="26"/>
      <c r="O15" s="22" t="s">
        <v>29</v>
      </c>
      <c r="Q15" s="8" t="s">
        <v>49</v>
      </c>
      <c r="R15" s="8">
        <v>38250</v>
      </c>
    </row>
    <row r="16" spans="1:18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v>8300</v>
      </c>
      <c r="G16" s="21">
        <v>100</v>
      </c>
      <c r="H16" s="21">
        <v>250</v>
      </c>
      <c r="I16" s="21">
        <f>D16+E16+F16+G16+H16</f>
        <v>16150</v>
      </c>
      <c r="J16" s="21">
        <f>2000+1000+1500+4000</f>
        <v>8500</v>
      </c>
      <c r="K16" s="57" t="s">
        <v>123</v>
      </c>
      <c r="L16" s="24" t="s">
        <v>104</v>
      </c>
      <c r="M16" s="25">
        <f t="shared" si="1"/>
        <v>7650</v>
      </c>
      <c r="N16" s="26" t="s">
        <v>124</v>
      </c>
      <c r="O16" s="22" t="s">
        <v>29</v>
      </c>
      <c r="Q16" s="8" t="s">
        <v>53</v>
      </c>
      <c r="R16" s="8">
        <v>50000</v>
      </c>
    </row>
    <row r="17" spans="1:18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v>-350</v>
      </c>
      <c r="G17" s="21">
        <v>100</v>
      </c>
      <c r="H17" s="21">
        <v>0</v>
      </c>
      <c r="I17" s="21">
        <f t="shared" si="0"/>
        <v>7250</v>
      </c>
      <c r="J17" s="21">
        <f>7500+500</f>
        <v>8000</v>
      </c>
      <c r="K17" s="23" t="s">
        <v>107</v>
      </c>
      <c r="L17" s="24" t="s">
        <v>104</v>
      </c>
      <c r="M17" s="25">
        <f t="shared" si="1"/>
        <v>-750</v>
      </c>
      <c r="N17" s="29"/>
      <c r="O17" s="22" t="s">
        <v>29</v>
      </c>
      <c r="Q17" s="8" t="s">
        <v>57</v>
      </c>
      <c r="R17" s="8">
        <v>60000</v>
      </c>
    </row>
    <row r="18" spans="1:18" x14ac:dyDescent="0.2">
      <c r="A18" s="19" t="s">
        <v>58</v>
      </c>
      <c r="B18" s="9" t="s">
        <v>59</v>
      </c>
      <c r="C18" s="20" t="s">
        <v>60</v>
      </c>
      <c r="D18" s="21"/>
      <c r="E18" s="21">
        <v>7500</v>
      </c>
      <c r="F18" s="21">
        <v>-4150</v>
      </c>
      <c r="G18" s="21">
        <v>100</v>
      </c>
      <c r="H18" s="21">
        <v>500</v>
      </c>
      <c r="I18" s="21">
        <f t="shared" si="0"/>
        <v>3950</v>
      </c>
      <c r="J18" s="21"/>
      <c r="K18" s="27"/>
      <c r="L18" s="24" t="s">
        <v>104</v>
      </c>
      <c r="M18" s="25">
        <f t="shared" si="1"/>
        <v>3950</v>
      </c>
      <c r="N18" s="26"/>
      <c r="O18" s="22" t="s">
        <v>29</v>
      </c>
      <c r="Q18" s="8" t="s">
        <v>61</v>
      </c>
      <c r="R18" s="8">
        <v>150000</v>
      </c>
    </row>
    <row r="19" spans="1:18" x14ac:dyDescent="0.2">
      <c r="A19" s="19" t="s">
        <v>62</v>
      </c>
      <c r="B19" s="19" t="s">
        <v>63</v>
      </c>
      <c r="C19" s="20" t="s">
        <v>64</v>
      </c>
      <c r="D19" s="21">
        <v>0</v>
      </c>
      <c r="E19" s="21">
        <v>7500</v>
      </c>
      <c r="F19" s="21">
        <v>2400</v>
      </c>
      <c r="G19" s="21">
        <v>100</v>
      </c>
      <c r="H19" s="21">
        <v>250</v>
      </c>
      <c r="I19" s="21">
        <f t="shared" si="0"/>
        <v>10250</v>
      </c>
      <c r="J19" s="21">
        <f>8100</f>
        <v>8100</v>
      </c>
      <c r="K19" s="57" t="s">
        <v>120</v>
      </c>
      <c r="L19" s="24" t="s">
        <v>104</v>
      </c>
      <c r="M19" s="25">
        <f t="shared" si="1"/>
        <v>2150</v>
      </c>
      <c r="N19" s="29" t="s">
        <v>38</v>
      </c>
      <c r="O19" s="22" t="s">
        <v>29</v>
      </c>
      <c r="Q19" s="8" t="s">
        <v>65</v>
      </c>
      <c r="R19" s="8">
        <v>190000</v>
      </c>
    </row>
    <row r="20" spans="1:18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[1]DEC!$M$20</f>
        <v>0</v>
      </c>
      <c r="G20" s="21">
        <v>100</v>
      </c>
      <c r="H20" s="21">
        <v>0</v>
      </c>
      <c r="I20" s="21">
        <f t="shared" si="0"/>
        <v>7600</v>
      </c>
      <c r="J20" s="21">
        <f>7600</f>
        <v>7600</v>
      </c>
      <c r="K20" s="57" t="s">
        <v>109</v>
      </c>
      <c r="L20" s="24" t="s">
        <v>104</v>
      </c>
      <c r="M20" s="25">
        <f t="shared" si="1"/>
        <v>0</v>
      </c>
      <c r="N20" s="26"/>
      <c r="O20" s="22" t="s">
        <v>29</v>
      </c>
      <c r="Q20" s="8" t="s">
        <v>68</v>
      </c>
      <c r="R20" s="8">
        <v>100000</v>
      </c>
    </row>
    <row r="21" spans="1:18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v>400</v>
      </c>
      <c r="G21" s="21">
        <v>100</v>
      </c>
      <c r="H21" s="21">
        <v>250</v>
      </c>
      <c r="I21" s="21">
        <f t="shared" si="0"/>
        <v>8250</v>
      </c>
      <c r="J21" s="21">
        <f>7750</f>
        <v>7750</v>
      </c>
      <c r="K21" s="57" t="s">
        <v>118</v>
      </c>
      <c r="L21" s="24" t="s">
        <v>104</v>
      </c>
      <c r="M21" s="25">
        <f t="shared" si="1"/>
        <v>500</v>
      </c>
      <c r="N21" s="26" t="s">
        <v>38</v>
      </c>
      <c r="O21" s="22" t="s">
        <v>29</v>
      </c>
      <c r="Q21" s="8" t="s">
        <v>72</v>
      </c>
      <c r="R21" s="8">
        <v>30000</v>
      </c>
    </row>
    <row r="22" spans="1:18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v>1250</v>
      </c>
      <c r="G22" s="21">
        <v>100</v>
      </c>
      <c r="H22" s="21">
        <v>250</v>
      </c>
      <c r="I22" s="21">
        <f t="shared" si="0"/>
        <v>8600</v>
      </c>
      <c r="J22" s="21">
        <f>7000</f>
        <v>7000</v>
      </c>
      <c r="K22" s="57" t="s">
        <v>106</v>
      </c>
      <c r="L22" s="24" t="s">
        <v>104</v>
      </c>
      <c r="M22" s="25">
        <f t="shared" si="1"/>
        <v>1600</v>
      </c>
      <c r="N22" s="26"/>
      <c r="O22" s="22" t="s">
        <v>29</v>
      </c>
      <c r="Q22" s="8" t="s">
        <v>76</v>
      </c>
      <c r="R22" s="8">
        <v>11500</v>
      </c>
    </row>
    <row r="23" spans="1:18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v>250</v>
      </c>
      <c r="G23" s="21">
        <v>100</v>
      </c>
      <c r="H23" s="21">
        <v>0</v>
      </c>
      <c r="I23" s="21">
        <f t="shared" si="0"/>
        <v>7350</v>
      </c>
      <c r="J23" s="21">
        <f>7350</f>
        <v>7350</v>
      </c>
      <c r="K23" s="57" t="s">
        <v>108</v>
      </c>
      <c r="L23" s="24" t="s">
        <v>104</v>
      </c>
      <c r="M23" s="25">
        <f t="shared" si="1"/>
        <v>0</v>
      </c>
      <c r="N23" s="26"/>
      <c r="O23" s="22" t="s">
        <v>29</v>
      </c>
      <c r="Q23" s="8" t="s">
        <v>80</v>
      </c>
      <c r="R23" s="8">
        <v>15500</v>
      </c>
    </row>
    <row r="24" spans="1:18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v>500</v>
      </c>
      <c r="G24" s="21">
        <v>100</v>
      </c>
      <c r="H24" s="21">
        <v>0</v>
      </c>
      <c r="I24" s="21">
        <f t="shared" si="0"/>
        <v>7600</v>
      </c>
      <c r="J24" s="21">
        <f>7100+500</f>
        <v>7600</v>
      </c>
      <c r="K24" s="58" t="s">
        <v>115</v>
      </c>
      <c r="L24" s="24" t="s">
        <v>104</v>
      </c>
      <c r="M24" s="25">
        <f t="shared" si="1"/>
        <v>0</v>
      </c>
      <c r="N24" s="26"/>
      <c r="O24" s="22" t="s">
        <v>29</v>
      </c>
      <c r="Q24" s="8" t="s">
        <v>84</v>
      </c>
      <c r="R24" s="8">
        <v>43800</v>
      </c>
    </row>
    <row r="25" spans="1:18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[1]DEC!$M$25</f>
        <v>250</v>
      </c>
      <c r="G25" s="21">
        <v>100</v>
      </c>
      <c r="H25" s="21">
        <v>500</v>
      </c>
      <c r="I25" s="21">
        <f t="shared" si="0"/>
        <v>7850</v>
      </c>
      <c r="J25" s="21">
        <f>7600</f>
        <v>7600</v>
      </c>
      <c r="K25" s="58" t="s">
        <v>119</v>
      </c>
      <c r="L25" s="24" t="s">
        <v>104</v>
      </c>
      <c r="M25" s="25">
        <f t="shared" si="1"/>
        <v>250</v>
      </c>
      <c r="N25" s="26"/>
      <c r="O25" s="22" t="s">
        <v>29</v>
      </c>
      <c r="R25" s="31">
        <f>SUM(R10:R24)</f>
        <v>1094268</v>
      </c>
    </row>
    <row r="26" spans="1:18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v>-100</v>
      </c>
      <c r="G26" s="21">
        <v>100</v>
      </c>
      <c r="H26" s="21">
        <v>0</v>
      </c>
      <c r="I26" s="21">
        <f t="shared" si="0"/>
        <v>7000</v>
      </c>
      <c r="J26" s="21">
        <f>7300</f>
        <v>7300</v>
      </c>
      <c r="K26" s="57" t="s">
        <v>110</v>
      </c>
      <c r="L26" s="24" t="s">
        <v>104</v>
      </c>
      <c r="M26" s="25">
        <f t="shared" si="1"/>
        <v>-300</v>
      </c>
      <c r="N26" s="29" t="s">
        <v>38</v>
      </c>
      <c r="O26" s="22" t="s">
        <v>29</v>
      </c>
    </row>
    <row r="27" spans="1:18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v>0</v>
      </c>
      <c r="G27" s="21"/>
      <c r="H27" s="21">
        <v>0</v>
      </c>
      <c r="I27" s="21">
        <f t="shared" si="0"/>
        <v>0</v>
      </c>
      <c r="J27" s="21"/>
      <c r="K27" s="27"/>
      <c r="L27" s="24" t="s">
        <v>104</v>
      </c>
      <c r="M27" s="25">
        <f t="shared" si="1"/>
        <v>0</v>
      </c>
      <c r="N27" s="26"/>
      <c r="O27" s="22" t="s">
        <v>29</v>
      </c>
    </row>
    <row r="28" spans="1:18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117500</v>
      </c>
      <c r="F28" s="34">
        <f>SUM(F10:F27)</f>
        <v>3100</v>
      </c>
      <c r="G28" s="34">
        <f>SUM(G10:G27)</f>
        <v>1600</v>
      </c>
      <c r="H28" s="35">
        <f>SUM(H10:H27)</f>
        <v>3500</v>
      </c>
      <c r="I28" s="34">
        <f>SUM(I10:I27)</f>
        <v>125700</v>
      </c>
      <c r="J28" s="34">
        <f>SUM(J10:J27)</f>
        <v>109100</v>
      </c>
      <c r="K28" s="36"/>
      <c r="L28" s="24"/>
      <c r="M28" s="37">
        <f>SUM(M10:M27)</f>
        <v>16600</v>
      </c>
      <c r="N28" s="4"/>
      <c r="O28" s="7"/>
    </row>
    <row r="29" spans="1:18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8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8320</v>
      </c>
      <c r="K30" s="12"/>
      <c r="L30" s="14" t="s">
        <v>6</v>
      </c>
      <c r="M30" s="25"/>
      <c r="N30" s="11"/>
      <c r="O30" s="7"/>
    </row>
    <row r="31" spans="1:18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500+1000+1000</f>
        <v>2500</v>
      </c>
      <c r="K31" s="12"/>
      <c r="L31" s="14"/>
      <c r="M31" s="25"/>
      <c r="N31" s="11"/>
      <c r="O31" s="7"/>
    </row>
    <row r="32" spans="1:18" ht="15" x14ac:dyDescent="0.25">
      <c r="A32" s="9" t="s">
        <v>17</v>
      </c>
      <c r="B32" s="10"/>
      <c r="C32" s="10"/>
      <c r="D32" s="14"/>
      <c r="E32" s="14"/>
      <c r="F32" s="14"/>
      <c r="G32" s="14" t="s">
        <v>96</v>
      </c>
      <c r="H32" s="14"/>
      <c r="I32" s="14"/>
      <c r="J32" s="38">
        <v>1700</v>
      </c>
      <c r="K32" s="12"/>
      <c r="L32" s="14"/>
      <c r="M32" s="25"/>
      <c r="N32" s="11"/>
      <c r="O32" s="7"/>
    </row>
    <row r="33" spans="1:15" ht="15" x14ac:dyDescent="0.25">
      <c r="A33" s="9" t="s">
        <v>122</v>
      </c>
      <c r="B33" s="10"/>
      <c r="C33" s="10"/>
      <c r="D33" s="14"/>
      <c r="E33" s="14"/>
      <c r="F33" s="14"/>
      <c r="G33" s="14"/>
      <c r="H33" s="14"/>
      <c r="I33" s="14"/>
      <c r="J33" s="38">
        <v>1000</v>
      </c>
      <c r="K33" s="12"/>
      <c r="L33" s="14"/>
      <c r="M33" s="25"/>
      <c r="N33" s="11"/>
      <c r="O33" s="7"/>
    </row>
    <row r="34" spans="1:15" ht="15" x14ac:dyDescent="0.25">
      <c r="A34" s="9" t="s">
        <v>121</v>
      </c>
      <c r="B34" s="10"/>
      <c r="C34" s="10"/>
      <c r="D34" s="14"/>
      <c r="E34" s="14"/>
      <c r="F34" s="14"/>
      <c r="G34" s="14"/>
      <c r="H34" s="14"/>
      <c r="I34" s="14"/>
      <c r="J34" s="38">
        <v>5000</v>
      </c>
      <c r="K34" s="12"/>
      <c r="L34" s="14"/>
      <c r="M34" s="25"/>
      <c r="N34" s="11"/>
      <c r="O34" s="7"/>
    </row>
    <row r="35" spans="1:15" ht="15" x14ac:dyDescent="0.25">
      <c r="A35" s="9" t="s">
        <v>97</v>
      </c>
      <c r="B35" s="10"/>
      <c r="C35" s="10"/>
      <c r="D35" s="14"/>
      <c r="E35" s="14"/>
      <c r="F35" s="14"/>
      <c r="G35" s="14"/>
      <c r="H35" s="14"/>
      <c r="I35" s="14"/>
      <c r="J35" s="38">
        <v>8370</v>
      </c>
      <c r="K35" s="12"/>
      <c r="L35" s="14"/>
      <c r="M35" s="25"/>
      <c r="N35" s="11"/>
      <c r="O35" s="7"/>
    </row>
    <row r="36" spans="1:15" ht="15" x14ac:dyDescent="0.25">
      <c r="A36" s="13" t="s">
        <v>98</v>
      </c>
      <c r="B36" s="10"/>
      <c r="C36" s="10"/>
      <c r="D36" s="14"/>
      <c r="E36" s="14"/>
      <c r="F36" s="14"/>
      <c r="G36" s="14"/>
      <c r="H36" s="14"/>
      <c r="I36" s="14"/>
      <c r="J36" s="39">
        <f>SUM(J30:J35)</f>
        <v>26890</v>
      </c>
      <c r="K36" s="12"/>
      <c r="L36" s="14"/>
      <c r="M36" s="25"/>
      <c r="N36" s="11"/>
      <c r="O36" s="7"/>
    </row>
    <row r="37" spans="1:15" ht="15" x14ac:dyDescent="0.25">
      <c r="A37" s="13"/>
      <c r="B37" s="10"/>
      <c r="C37" s="10"/>
      <c r="D37" s="14"/>
      <c r="E37" s="14"/>
      <c r="F37" s="14"/>
      <c r="G37" s="14"/>
      <c r="H37" s="14"/>
      <c r="I37" s="14"/>
      <c r="J37" s="39"/>
      <c r="K37" s="12">
        <v>0</v>
      </c>
      <c r="L37" s="14"/>
      <c r="M37" s="25"/>
      <c r="N37" s="11"/>
      <c r="O37" s="7"/>
    </row>
    <row r="38" spans="1:15" ht="15" x14ac:dyDescent="0.25">
      <c r="A38" s="13" t="s">
        <v>99</v>
      </c>
      <c r="B38" s="10"/>
      <c r="C38" s="10"/>
      <c r="D38" s="14"/>
      <c r="E38" s="14" t="s">
        <v>96</v>
      </c>
      <c r="F38" s="14"/>
      <c r="G38" s="14"/>
      <c r="H38" s="14"/>
      <c r="I38" s="14"/>
      <c r="J38" s="39">
        <f>[1]DEC!$M$39</f>
        <v>-800</v>
      </c>
      <c r="K38" s="12"/>
      <c r="L38" s="14"/>
      <c r="M38" s="25"/>
      <c r="N38" s="11"/>
      <c r="O38" s="7"/>
    </row>
    <row r="39" spans="1:15" ht="15" x14ac:dyDescent="0.25">
      <c r="A39" s="9"/>
      <c r="B39" s="10"/>
      <c r="C39" s="10"/>
      <c r="D39" s="14"/>
      <c r="E39" s="14"/>
      <c r="F39" s="14"/>
      <c r="G39" s="14"/>
      <c r="H39" s="14"/>
      <c r="I39" s="14"/>
      <c r="J39" s="14"/>
      <c r="K39" s="40" t="s">
        <v>100</v>
      </c>
      <c r="L39" s="41" t="s">
        <v>100</v>
      </c>
      <c r="M39" s="42" t="s">
        <v>101</v>
      </c>
      <c r="O39" s="7"/>
    </row>
    <row r="40" spans="1:15" ht="15" x14ac:dyDescent="0.25">
      <c r="A40" s="43" t="s">
        <v>102</v>
      </c>
      <c r="B40" s="33"/>
      <c r="C40" s="33"/>
      <c r="D40" s="34"/>
      <c r="E40" s="34"/>
      <c r="F40" s="34"/>
      <c r="G40" s="34"/>
      <c r="H40" s="34"/>
      <c r="I40" s="34"/>
      <c r="J40" s="34">
        <f>J28-J36+J38</f>
        <v>81410</v>
      </c>
      <c r="K40" s="44">
        <v>100000</v>
      </c>
      <c r="L40" s="45"/>
      <c r="M40" s="46">
        <f>J40-K40-L40</f>
        <v>-18590</v>
      </c>
      <c r="O40" s="7"/>
    </row>
    <row r="41" spans="1:15" ht="15" x14ac:dyDescent="0.25">
      <c r="A41" s="47"/>
      <c r="B41" s="48"/>
      <c r="C41" s="48"/>
      <c r="D41" s="49"/>
      <c r="E41" s="49"/>
      <c r="F41" s="49"/>
      <c r="G41" s="49"/>
      <c r="H41" s="49"/>
      <c r="I41" s="49"/>
      <c r="J41" s="49"/>
      <c r="K41" s="50"/>
      <c r="L41" s="49"/>
      <c r="M41" s="49" t="s">
        <v>96</v>
      </c>
      <c r="N41" s="11"/>
      <c r="O41" s="7"/>
    </row>
    <row r="42" spans="1:15" ht="15" x14ac:dyDescent="0.25">
      <c r="A42" s="12" t="s">
        <v>103</v>
      </c>
      <c r="B42" s="10"/>
      <c r="C42" s="10"/>
      <c r="D42" s="11"/>
      <c r="E42" s="11"/>
      <c r="F42" s="11"/>
      <c r="G42" s="11"/>
      <c r="H42" s="11"/>
      <c r="I42" s="11"/>
      <c r="J42" s="11"/>
      <c r="K42" s="51"/>
      <c r="L42" s="11"/>
      <c r="M42" s="52">
        <v>46053</v>
      </c>
      <c r="N42" s="11"/>
      <c r="O42" s="7"/>
    </row>
    <row r="43" spans="1:15" ht="15" x14ac:dyDescent="0.25">
      <c r="A43" s="9"/>
      <c r="B43" s="10"/>
      <c r="C43" s="10"/>
      <c r="D43" s="11"/>
      <c r="E43" s="11"/>
      <c r="F43" s="11"/>
      <c r="G43" s="11"/>
      <c r="H43" s="11"/>
      <c r="I43" s="11"/>
      <c r="J43" s="11"/>
      <c r="K43" s="12"/>
      <c r="L43" s="11"/>
      <c r="M43" s="53"/>
      <c r="N43" s="11"/>
      <c r="O43" s="7"/>
    </row>
    <row r="46" spans="1:15" x14ac:dyDescent="0.2">
      <c r="F46" s="54"/>
      <c r="G46" s="54"/>
      <c r="H46" s="54"/>
    </row>
    <row r="47" spans="1:15" x14ac:dyDescent="0.2">
      <c r="F47" s="54"/>
      <c r="G47" s="54"/>
      <c r="H47" s="54"/>
      <c r="J47" s="55"/>
      <c r="K47" s="55"/>
    </row>
    <row r="50" spans="10:13" x14ac:dyDescent="0.2">
      <c r="J50" s="56">
        <f>J28/I28*100</f>
        <v>86.793953858392996</v>
      </c>
    </row>
    <row r="52" spans="10:13" x14ac:dyDescent="0.2">
      <c r="J52" s="55"/>
    </row>
    <row r="55" spans="10:13" x14ac:dyDescent="0.2">
      <c r="M55" s="55"/>
    </row>
  </sheetData>
  <mergeCells count="1">
    <mergeCell ref="A3:M3"/>
  </mergeCells>
  <pageMargins left="0.25" right="0.25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6"/>
  <sheetViews>
    <sheetView topLeftCell="A4" zoomScale="81" zoomScaleNormal="80" workbookViewId="0">
      <selection activeCell="I27" sqref="I27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8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8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8" ht="15" x14ac:dyDescent="0.25">
      <c r="A3" s="67" t="s">
        <v>126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8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8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8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8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8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8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8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JAN!M10</f>
        <v>500</v>
      </c>
      <c r="G10" s="21">
        <v>100</v>
      </c>
      <c r="H10" s="22">
        <v>750</v>
      </c>
      <c r="I10" s="21">
        <f>D10+E10+F10+G10+H10</f>
        <v>8850</v>
      </c>
      <c r="J10" s="21">
        <v>8600</v>
      </c>
      <c r="K10" s="58" t="s">
        <v>138</v>
      </c>
      <c r="L10" s="24" t="s">
        <v>125</v>
      </c>
      <c r="M10" s="25">
        <f>I10-J10</f>
        <v>250</v>
      </c>
      <c r="N10" s="26"/>
      <c r="O10" s="22" t="s">
        <v>29</v>
      </c>
      <c r="Q10" s="8" t="s">
        <v>30</v>
      </c>
      <c r="R10" s="8">
        <v>150000</v>
      </c>
    </row>
    <row r="11" spans="1:18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JAN!M11</f>
        <v>550</v>
      </c>
      <c r="G11" s="21">
        <v>100</v>
      </c>
      <c r="H11" s="21">
        <v>500</v>
      </c>
      <c r="I11" s="21">
        <f t="shared" ref="I11:I26" si="0">D11+E11+F11+G11+H11</f>
        <v>8650</v>
      </c>
      <c r="J11" s="21">
        <f>7750</f>
        <v>7750</v>
      </c>
      <c r="K11" s="57" t="s">
        <v>141</v>
      </c>
      <c r="L11" s="24" t="s">
        <v>125</v>
      </c>
      <c r="M11" s="25">
        <f t="shared" ref="M11:M27" si="1">I11-J11</f>
        <v>900</v>
      </c>
      <c r="N11" s="26"/>
      <c r="O11" s="22" t="s">
        <v>29</v>
      </c>
      <c r="Q11" s="8" t="s">
        <v>34</v>
      </c>
      <c r="R11" s="8">
        <v>50000</v>
      </c>
    </row>
    <row r="12" spans="1:18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JAN!M12</f>
        <v>700</v>
      </c>
      <c r="G12" s="21">
        <v>100</v>
      </c>
      <c r="H12" s="21">
        <v>750</v>
      </c>
      <c r="I12" s="21">
        <f t="shared" si="0"/>
        <v>9050</v>
      </c>
      <c r="J12" s="14">
        <f>8250</f>
        <v>8250</v>
      </c>
      <c r="K12" s="57" t="s">
        <v>140</v>
      </c>
      <c r="L12" s="24" t="s">
        <v>125</v>
      </c>
      <c r="M12" s="25">
        <f t="shared" si="1"/>
        <v>800</v>
      </c>
      <c r="N12" s="25" t="s">
        <v>38</v>
      </c>
      <c r="O12" s="22" t="s">
        <v>29</v>
      </c>
      <c r="Q12" s="8" t="s">
        <v>39</v>
      </c>
      <c r="R12" s="8">
        <v>140208</v>
      </c>
    </row>
    <row r="13" spans="1:18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JAN!M13</f>
        <v>-200</v>
      </c>
      <c r="G13" s="21">
        <v>100</v>
      </c>
      <c r="H13" s="21">
        <v>0</v>
      </c>
      <c r="I13" s="21">
        <f t="shared" si="0"/>
        <v>7400</v>
      </c>
      <c r="J13" s="14">
        <f>3000+4500</f>
        <v>7500</v>
      </c>
      <c r="K13" s="57" t="s">
        <v>143</v>
      </c>
      <c r="L13" s="24" t="s">
        <v>125</v>
      </c>
      <c r="M13" s="25">
        <f t="shared" si="1"/>
        <v>-100</v>
      </c>
      <c r="N13" s="26"/>
      <c r="O13" s="22" t="s">
        <v>29</v>
      </c>
      <c r="Q13" s="8" t="s">
        <v>43</v>
      </c>
      <c r="R13" s="8">
        <v>32850</v>
      </c>
    </row>
    <row r="14" spans="1:18" x14ac:dyDescent="0.2">
      <c r="A14" s="19" t="s">
        <v>44</v>
      </c>
      <c r="B14" s="9" t="s">
        <v>135</v>
      </c>
      <c r="C14" s="28" t="s">
        <v>136</v>
      </c>
      <c r="D14" s="21">
        <v>7500</v>
      </c>
      <c r="E14" s="21">
        <v>7500</v>
      </c>
      <c r="F14" s="21">
        <f>JAN!M14</f>
        <v>0</v>
      </c>
      <c r="G14" s="21">
        <v>100</v>
      </c>
      <c r="H14" s="21">
        <v>0</v>
      </c>
      <c r="I14" s="21">
        <f>D14+E14+F14+G14+H14</f>
        <v>15100</v>
      </c>
      <c r="J14" s="21">
        <f>6000+3000</f>
        <v>9000</v>
      </c>
      <c r="K14" s="57" t="s">
        <v>145</v>
      </c>
      <c r="L14" s="24" t="s">
        <v>125</v>
      </c>
      <c r="M14" s="25">
        <f t="shared" si="1"/>
        <v>6100</v>
      </c>
      <c r="N14" s="26" t="s">
        <v>137</v>
      </c>
      <c r="O14" s="22" t="s">
        <v>29</v>
      </c>
      <c r="Q14" s="8" t="s">
        <v>45</v>
      </c>
      <c r="R14" s="8">
        <v>32160</v>
      </c>
    </row>
    <row r="15" spans="1:18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JAN!M15</f>
        <v>0</v>
      </c>
      <c r="G15" s="21">
        <v>100</v>
      </c>
      <c r="H15" s="21">
        <v>500</v>
      </c>
      <c r="I15" s="21">
        <f t="shared" si="0"/>
        <v>8100</v>
      </c>
      <c r="J15" s="21">
        <f>8000</f>
        <v>8000</v>
      </c>
      <c r="K15" s="57" t="s">
        <v>132</v>
      </c>
      <c r="L15" s="24" t="s">
        <v>125</v>
      </c>
      <c r="M15" s="25">
        <f t="shared" si="1"/>
        <v>100</v>
      </c>
      <c r="N15" s="26"/>
      <c r="O15" s="22" t="s">
        <v>29</v>
      </c>
      <c r="Q15" s="8" t="s">
        <v>49</v>
      </c>
      <c r="R15" s="8">
        <v>38250</v>
      </c>
    </row>
    <row r="16" spans="1:18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JAN!M16</f>
        <v>7650</v>
      </c>
      <c r="G16" s="21">
        <v>100</v>
      </c>
      <c r="H16" s="21">
        <v>250</v>
      </c>
      <c r="I16" s="21">
        <f t="shared" si="0"/>
        <v>15500</v>
      </c>
      <c r="J16" s="21">
        <f>4000+1000+2000+3500</f>
        <v>10500</v>
      </c>
      <c r="K16" s="57" t="s">
        <v>148</v>
      </c>
      <c r="L16" s="24" t="s">
        <v>125</v>
      </c>
      <c r="M16" s="25">
        <f t="shared" si="1"/>
        <v>5000</v>
      </c>
      <c r="N16" s="26"/>
      <c r="O16" s="22" t="s">
        <v>29</v>
      </c>
      <c r="Q16" s="8" t="s">
        <v>53</v>
      </c>
      <c r="R16" s="8">
        <v>50000</v>
      </c>
    </row>
    <row r="17" spans="1:18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JAN!M17</f>
        <v>-750</v>
      </c>
      <c r="G17" s="21">
        <v>100</v>
      </c>
      <c r="H17" s="21">
        <v>250</v>
      </c>
      <c r="I17" s="21">
        <f t="shared" si="0"/>
        <v>7100</v>
      </c>
      <c r="J17" s="21">
        <f>500+7500</f>
        <v>8000</v>
      </c>
      <c r="K17" s="58" t="s">
        <v>129</v>
      </c>
      <c r="L17" s="24" t="s">
        <v>125</v>
      </c>
      <c r="M17" s="25">
        <f t="shared" si="1"/>
        <v>-900</v>
      </c>
      <c r="N17" s="29"/>
      <c r="O17" s="22" t="s">
        <v>29</v>
      </c>
      <c r="Q17" s="8" t="s">
        <v>57</v>
      </c>
      <c r="R17" s="8">
        <v>60000</v>
      </c>
    </row>
    <row r="18" spans="1:18" x14ac:dyDescent="0.2">
      <c r="A18" s="19" t="s">
        <v>58</v>
      </c>
      <c r="B18" s="9" t="s">
        <v>59</v>
      </c>
      <c r="C18" s="20" t="s">
        <v>60</v>
      </c>
      <c r="D18" s="21"/>
      <c r="E18" s="21">
        <v>7500</v>
      </c>
      <c r="F18" s="21">
        <f>JAN!M18</f>
        <v>3950</v>
      </c>
      <c r="G18" s="21">
        <v>100</v>
      </c>
      <c r="H18" s="21">
        <v>750</v>
      </c>
      <c r="I18" s="21">
        <f t="shared" si="0"/>
        <v>12300</v>
      </c>
      <c r="J18" s="21">
        <f>9000</f>
        <v>9000</v>
      </c>
      <c r="K18" s="57" t="s">
        <v>144</v>
      </c>
      <c r="L18" s="24" t="s">
        <v>125</v>
      </c>
      <c r="M18" s="25">
        <f t="shared" si="1"/>
        <v>3300</v>
      </c>
      <c r="N18" s="26"/>
      <c r="O18" s="22" t="s">
        <v>29</v>
      </c>
      <c r="Q18" s="8" t="s">
        <v>61</v>
      </c>
      <c r="R18" s="8">
        <v>150000</v>
      </c>
    </row>
    <row r="19" spans="1:18" x14ac:dyDescent="0.2">
      <c r="A19" s="19" t="s">
        <v>62</v>
      </c>
      <c r="B19" s="19" t="s">
        <v>63</v>
      </c>
      <c r="C19" s="20" t="s">
        <v>64</v>
      </c>
      <c r="D19" s="21">
        <v>0</v>
      </c>
      <c r="E19" s="21">
        <v>7500</v>
      </c>
      <c r="F19" s="21">
        <f>JAN!M19</f>
        <v>2150</v>
      </c>
      <c r="G19" s="21">
        <v>100</v>
      </c>
      <c r="H19" s="21">
        <v>500</v>
      </c>
      <c r="I19" s="21">
        <f t="shared" si="0"/>
        <v>10250</v>
      </c>
      <c r="J19" s="21">
        <f>8100</f>
        <v>8100</v>
      </c>
      <c r="K19" s="57" t="s">
        <v>139</v>
      </c>
      <c r="L19" s="24" t="s">
        <v>125</v>
      </c>
      <c r="M19" s="25">
        <f t="shared" si="1"/>
        <v>2150</v>
      </c>
      <c r="N19" s="29" t="s">
        <v>38</v>
      </c>
      <c r="O19" s="22" t="s">
        <v>29</v>
      </c>
      <c r="Q19" s="8" t="s">
        <v>65</v>
      </c>
      <c r="R19" s="8">
        <v>190000</v>
      </c>
    </row>
    <row r="20" spans="1:18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JAN!M20</f>
        <v>0</v>
      </c>
      <c r="G20" s="21">
        <v>100</v>
      </c>
      <c r="H20" s="21"/>
      <c r="I20" s="21">
        <f t="shared" si="0"/>
        <v>7600</v>
      </c>
      <c r="J20" s="21">
        <f>7750</f>
        <v>7750</v>
      </c>
      <c r="K20" s="57" t="s">
        <v>127</v>
      </c>
      <c r="L20" s="24" t="s">
        <v>125</v>
      </c>
      <c r="M20" s="25">
        <f t="shared" si="1"/>
        <v>-150</v>
      </c>
      <c r="N20" s="26"/>
      <c r="O20" s="22" t="s">
        <v>29</v>
      </c>
      <c r="Q20" s="8" t="s">
        <v>68</v>
      </c>
      <c r="R20" s="8">
        <v>100000</v>
      </c>
    </row>
    <row r="21" spans="1:18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f>JAN!M21</f>
        <v>500</v>
      </c>
      <c r="G21" s="21">
        <v>100</v>
      </c>
      <c r="H21" s="21">
        <v>500</v>
      </c>
      <c r="I21" s="21">
        <f t="shared" si="0"/>
        <v>8600</v>
      </c>
      <c r="J21" s="21">
        <f>8100</f>
        <v>8100</v>
      </c>
      <c r="K21" s="57" t="s">
        <v>128</v>
      </c>
      <c r="L21" s="24" t="s">
        <v>125</v>
      </c>
      <c r="M21" s="25">
        <f t="shared" si="1"/>
        <v>500</v>
      </c>
      <c r="N21" s="26" t="s">
        <v>38</v>
      </c>
      <c r="O21" s="22" t="s">
        <v>29</v>
      </c>
      <c r="Q21" s="8" t="s">
        <v>72</v>
      </c>
      <c r="R21" s="8">
        <v>30000</v>
      </c>
    </row>
    <row r="22" spans="1:18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f>JAN!M22</f>
        <v>1600</v>
      </c>
      <c r="G22" s="21">
        <v>100</v>
      </c>
      <c r="H22" s="21">
        <v>500</v>
      </c>
      <c r="I22" s="21">
        <f t="shared" si="0"/>
        <v>9200</v>
      </c>
      <c r="J22" s="21">
        <f>7500</f>
        <v>7500</v>
      </c>
      <c r="K22" s="57" t="s">
        <v>133</v>
      </c>
      <c r="L22" s="24" t="s">
        <v>125</v>
      </c>
      <c r="M22" s="25">
        <f t="shared" si="1"/>
        <v>1700</v>
      </c>
      <c r="N22" s="26"/>
      <c r="O22" s="22" t="s">
        <v>29</v>
      </c>
      <c r="Q22" s="8" t="s">
        <v>76</v>
      </c>
      <c r="R22" s="8">
        <v>11500</v>
      </c>
    </row>
    <row r="23" spans="1:18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JAN!M23</f>
        <v>0</v>
      </c>
      <c r="G23" s="21">
        <v>100</v>
      </c>
      <c r="H23" s="21">
        <v>500</v>
      </c>
      <c r="I23" s="21">
        <f t="shared" si="0"/>
        <v>7600</v>
      </c>
      <c r="J23" s="21">
        <f>7600</f>
        <v>7600</v>
      </c>
      <c r="K23" s="57" t="s">
        <v>130</v>
      </c>
      <c r="L23" s="24" t="s">
        <v>125</v>
      </c>
      <c r="M23" s="25">
        <f t="shared" si="1"/>
        <v>0</v>
      </c>
      <c r="N23" s="26"/>
      <c r="O23" s="22" t="s">
        <v>29</v>
      </c>
      <c r="Q23" s="8" t="s">
        <v>80</v>
      </c>
      <c r="R23" s="8">
        <v>15500</v>
      </c>
    </row>
    <row r="24" spans="1:18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JAN!M24</f>
        <v>0</v>
      </c>
      <c r="G24" s="21">
        <v>100</v>
      </c>
      <c r="H24" s="21">
        <v>250</v>
      </c>
      <c r="I24" s="21">
        <f t="shared" si="0"/>
        <v>7350</v>
      </c>
      <c r="J24" s="21">
        <f>6000+1350</f>
        <v>7350</v>
      </c>
      <c r="K24" s="58" t="s">
        <v>142</v>
      </c>
      <c r="L24" s="24" t="s">
        <v>125</v>
      </c>
      <c r="M24" s="25">
        <f t="shared" si="1"/>
        <v>0</v>
      </c>
      <c r="N24" s="26"/>
      <c r="O24" s="22" t="s">
        <v>29</v>
      </c>
      <c r="Q24" s="8" t="s">
        <v>84</v>
      </c>
      <c r="R24" s="8">
        <v>43800</v>
      </c>
    </row>
    <row r="25" spans="1:18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JAN!M25</f>
        <v>250</v>
      </c>
      <c r="G25" s="21">
        <v>100</v>
      </c>
      <c r="H25" s="21">
        <v>750</v>
      </c>
      <c r="I25" s="21">
        <f t="shared" si="0"/>
        <v>8100</v>
      </c>
      <c r="J25" s="21">
        <f>7600</f>
        <v>7600</v>
      </c>
      <c r="K25" s="58" t="s">
        <v>131</v>
      </c>
      <c r="L25" s="24" t="s">
        <v>125</v>
      </c>
      <c r="M25" s="25">
        <f t="shared" si="1"/>
        <v>500</v>
      </c>
      <c r="N25" s="26"/>
      <c r="O25" s="22" t="s">
        <v>29</v>
      </c>
      <c r="R25" s="31">
        <f>SUM(R10:R24)</f>
        <v>1094268</v>
      </c>
    </row>
    <row r="26" spans="1:18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f>JAN!M26</f>
        <v>-300</v>
      </c>
      <c r="G26" s="21">
        <v>100</v>
      </c>
      <c r="H26" s="21">
        <v>0</v>
      </c>
      <c r="I26" s="21">
        <f t="shared" si="0"/>
        <v>6800</v>
      </c>
      <c r="J26" s="21">
        <f>7100</f>
        <v>7100</v>
      </c>
      <c r="K26" s="57" t="s">
        <v>134</v>
      </c>
      <c r="L26" s="24" t="s">
        <v>125</v>
      </c>
      <c r="M26" s="25">
        <f t="shared" si="1"/>
        <v>-300</v>
      </c>
      <c r="N26" s="29" t="s">
        <v>38</v>
      </c>
      <c r="O26" s="22" t="s">
        <v>29</v>
      </c>
    </row>
    <row r="27" spans="1:18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JAN!M27</f>
        <v>0</v>
      </c>
      <c r="G27" s="21"/>
      <c r="H27" s="21">
        <v>0</v>
      </c>
      <c r="I27" s="21">
        <f t="shared" ref="I27" si="2">D27+E27+F27+G27+H27</f>
        <v>0</v>
      </c>
      <c r="J27" s="21"/>
      <c r="K27" s="27"/>
      <c r="L27" s="24" t="s">
        <v>125</v>
      </c>
      <c r="M27" s="25">
        <f t="shared" si="1"/>
        <v>0</v>
      </c>
      <c r="N27" s="26"/>
      <c r="O27" s="22" t="s">
        <v>29</v>
      </c>
    </row>
    <row r="28" spans="1:18" ht="15" x14ac:dyDescent="0.25">
      <c r="A28" s="32" t="s">
        <v>93</v>
      </c>
      <c r="B28" s="22"/>
      <c r="C28" s="33"/>
      <c r="D28" s="34">
        <f t="shared" ref="D28:E28" si="3">SUM(D10:D27)</f>
        <v>7500</v>
      </c>
      <c r="E28" s="34">
        <f t="shared" si="3"/>
        <v>125000</v>
      </c>
      <c r="F28" s="34">
        <f>SUM(F10:F27)</f>
        <v>16600</v>
      </c>
      <c r="G28" s="34">
        <f>SUM(G10:G27)</f>
        <v>1700</v>
      </c>
      <c r="H28" s="35">
        <f>SUM(H10:H27)</f>
        <v>6750</v>
      </c>
      <c r="I28" s="34">
        <f>SUM(I10:I27)</f>
        <v>157550</v>
      </c>
      <c r="J28" s="34">
        <f>SUM(J10:J27)</f>
        <v>137700</v>
      </c>
      <c r="K28" s="36"/>
      <c r="L28" s="24"/>
      <c r="M28" s="37">
        <f>SUM(M10:M27)</f>
        <v>19850</v>
      </c>
      <c r="N28" s="4"/>
      <c r="O28" s="7"/>
    </row>
    <row r="29" spans="1:18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8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9740</v>
      </c>
      <c r="K30" s="12"/>
      <c r="L30" s="14" t="s">
        <v>6</v>
      </c>
      <c r="M30" s="25"/>
      <c r="N30" s="11"/>
      <c r="O30" s="7"/>
    </row>
    <row r="31" spans="1:18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1000+1000</f>
        <v>2000</v>
      </c>
      <c r="K31" s="12"/>
      <c r="L31" s="14"/>
      <c r="M31" s="25"/>
      <c r="N31" s="11"/>
      <c r="O31" s="7"/>
    </row>
    <row r="32" spans="1:18" ht="15" x14ac:dyDescent="0.25">
      <c r="A32" s="9" t="s">
        <v>149</v>
      </c>
      <c r="B32" s="10"/>
      <c r="C32" s="10"/>
      <c r="D32" s="14"/>
      <c r="E32" s="14"/>
      <c r="F32" s="14"/>
      <c r="G32" s="14" t="s">
        <v>96</v>
      </c>
      <c r="H32" s="14"/>
      <c r="I32" s="14"/>
      <c r="J32" s="38">
        <f>1700</f>
        <v>1700</v>
      </c>
      <c r="K32" s="12"/>
      <c r="L32" s="14"/>
      <c r="M32" s="25"/>
      <c r="N32" s="11"/>
      <c r="O32" s="7"/>
    </row>
    <row r="33" spans="1:15" ht="15" x14ac:dyDescent="0.25">
      <c r="A33" s="9" t="s">
        <v>146</v>
      </c>
      <c r="B33" s="10"/>
      <c r="C33" s="10"/>
      <c r="D33" s="14"/>
      <c r="E33" s="14"/>
      <c r="F33" s="14"/>
      <c r="G33" s="14"/>
      <c r="H33" s="14"/>
      <c r="I33" s="14"/>
      <c r="J33" s="38">
        <f>1000</f>
        <v>1000</v>
      </c>
      <c r="K33" s="12"/>
      <c r="L33" s="14"/>
      <c r="M33" s="25"/>
      <c r="N33" s="11"/>
      <c r="O33" s="7"/>
    </row>
    <row r="34" spans="1:15" ht="15" x14ac:dyDescent="0.25">
      <c r="A34" s="9" t="s">
        <v>122</v>
      </c>
      <c r="B34" s="10"/>
      <c r="C34" s="10"/>
      <c r="D34" s="14"/>
      <c r="E34" s="14"/>
      <c r="F34" s="14"/>
      <c r="G34" s="14"/>
      <c r="H34" s="14"/>
      <c r="I34" s="14"/>
      <c r="J34" s="38">
        <f>1000</f>
        <v>1000</v>
      </c>
      <c r="K34" s="12"/>
      <c r="L34" s="14"/>
      <c r="M34" s="25"/>
      <c r="N34" s="11"/>
      <c r="O34" s="7"/>
    </row>
    <row r="35" spans="1:15" ht="15" x14ac:dyDescent="0.25">
      <c r="A35" s="9" t="s">
        <v>147</v>
      </c>
      <c r="B35" s="10"/>
      <c r="C35" s="10"/>
      <c r="D35" s="14"/>
      <c r="E35" s="14"/>
      <c r="F35" s="14"/>
      <c r="G35" s="14"/>
      <c r="H35" s="14"/>
      <c r="I35" s="14"/>
      <c r="J35" s="38">
        <f>1000</f>
        <v>1000</v>
      </c>
      <c r="K35" s="12"/>
      <c r="L35" s="14"/>
      <c r="M35" s="25"/>
      <c r="N35" s="11"/>
      <c r="O35" s="7"/>
    </row>
    <row r="36" spans="1:15" ht="15" x14ac:dyDescent="0.25">
      <c r="A36" s="9" t="s">
        <v>97</v>
      </c>
      <c r="B36" s="10"/>
      <c r="C36" s="10"/>
      <c r="D36" s="14"/>
      <c r="E36" s="14"/>
      <c r="F36" s="14"/>
      <c r="G36" s="14"/>
      <c r="H36" s="14"/>
      <c r="I36" s="14"/>
      <c r="J36" s="38">
        <f>8300</f>
        <v>8300</v>
      </c>
      <c r="K36" s="12"/>
      <c r="L36" s="14"/>
      <c r="M36" s="25"/>
      <c r="N36" s="11"/>
      <c r="O36" s="7"/>
    </row>
    <row r="37" spans="1:15" ht="15" x14ac:dyDescent="0.25">
      <c r="A37" s="13" t="s">
        <v>98</v>
      </c>
      <c r="B37" s="10"/>
      <c r="C37" s="10"/>
      <c r="D37" s="14"/>
      <c r="E37" s="14"/>
      <c r="F37" s="14"/>
      <c r="G37" s="14"/>
      <c r="H37" s="14"/>
      <c r="I37" s="14"/>
      <c r="J37" s="39">
        <f>SUM(J30:J36)</f>
        <v>24740</v>
      </c>
      <c r="K37" s="12"/>
      <c r="L37" s="14"/>
      <c r="M37" s="25"/>
      <c r="N37" s="11"/>
      <c r="O37" s="7"/>
    </row>
    <row r="38" spans="1:15" ht="15" x14ac:dyDescent="0.25">
      <c r="A38" s="13"/>
      <c r="B38" s="10"/>
      <c r="C38" s="10"/>
      <c r="D38" s="14"/>
      <c r="E38" s="14"/>
      <c r="F38" s="14"/>
      <c r="G38" s="14"/>
      <c r="H38" s="14"/>
      <c r="I38" s="14"/>
      <c r="J38" s="39"/>
      <c r="K38" s="12">
        <v>0</v>
      </c>
      <c r="L38" s="14"/>
      <c r="M38" s="25"/>
      <c r="N38" s="11"/>
      <c r="O38" s="7"/>
    </row>
    <row r="39" spans="1:15" ht="15" x14ac:dyDescent="0.25">
      <c r="A39" s="13" t="s">
        <v>99</v>
      </c>
      <c r="B39" s="10"/>
      <c r="C39" s="10"/>
      <c r="D39" s="14"/>
      <c r="E39" s="14" t="s">
        <v>96</v>
      </c>
      <c r="F39" s="14"/>
      <c r="G39" s="14"/>
      <c r="H39" s="14"/>
      <c r="I39" s="14"/>
      <c r="J39" s="39">
        <f>JAN!M40</f>
        <v>-18590</v>
      </c>
      <c r="K39" s="12"/>
      <c r="L39" s="14"/>
      <c r="M39" s="25"/>
      <c r="N39" s="11"/>
      <c r="O39" s="7"/>
    </row>
    <row r="40" spans="1:15" ht="15" x14ac:dyDescent="0.25">
      <c r="A40" s="9"/>
      <c r="B40" s="10"/>
      <c r="C40" s="10"/>
      <c r="D40" s="14"/>
      <c r="E40" s="14"/>
      <c r="F40" s="14"/>
      <c r="G40" s="14"/>
      <c r="H40" s="14"/>
      <c r="I40" s="14"/>
      <c r="J40" s="14"/>
      <c r="K40" s="40" t="s">
        <v>100</v>
      </c>
      <c r="L40" s="41" t="s">
        <v>100</v>
      </c>
      <c r="M40" s="42" t="s">
        <v>101</v>
      </c>
      <c r="O40" s="7"/>
    </row>
    <row r="41" spans="1:15" ht="15" x14ac:dyDescent="0.25">
      <c r="A41" s="43" t="s">
        <v>102</v>
      </c>
      <c r="B41" s="33"/>
      <c r="C41" s="33"/>
      <c r="D41" s="34"/>
      <c r="E41" s="34"/>
      <c r="F41" s="34"/>
      <c r="G41" s="34"/>
      <c r="H41" s="34"/>
      <c r="I41" s="34"/>
      <c r="J41" s="34">
        <f>J28-J37+J39</f>
        <v>94370</v>
      </c>
      <c r="K41" s="44">
        <v>80000</v>
      </c>
      <c r="L41" s="45">
        <v>14570</v>
      </c>
      <c r="M41" s="46">
        <f>J41-K41-L41</f>
        <v>-200</v>
      </c>
      <c r="O41" s="7"/>
    </row>
    <row r="42" spans="1:15" ht="15" x14ac:dyDescent="0.25">
      <c r="A42" s="47"/>
      <c r="B42" s="48"/>
      <c r="C42" s="48"/>
      <c r="D42" s="49"/>
      <c r="E42" s="49"/>
      <c r="F42" s="49"/>
      <c r="G42" s="49"/>
      <c r="H42" s="49"/>
      <c r="I42" s="49"/>
      <c r="J42" s="49"/>
      <c r="K42" s="50"/>
      <c r="L42" s="49"/>
      <c r="M42" s="49" t="s">
        <v>96</v>
      </c>
      <c r="N42" s="11"/>
      <c r="O42" s="7"/>
    </row>
    <row r="43" spans="1:15" ht="15" x14ac:dyDescent="0.25">
      <c r="A43" s="12" t="s">
        <v>103</v>
      </c>
      <c r="B43" s="10"/>
      <c r="C43" s="10"/>
      <c r="D43" s="11"/>
      <c r="E43" s="11"/>
      <c r="F43" s="11"/>
      <c r="G43" s="11"/>
      <c r="H43" s="11"/>
      <c r="I43" s="11"/>
      <c r="J43" s="11"/>
      <c r="K43" s="51"/>
      <c r="L43" s="11"/>
      <c r="M43" s="52">
        <v>46081</v>
      </c>
      <c r="N43" s="11"/>
      <c r="O43" s="7"/>
    </row>
    <row r="44" spans="1:15" ht="15" x14ac:dyDescent="0.25">
      <c r="A44" s="9"/>
      <c r="B44" s="10"/>
      <c r="C44" s="10"/>
      <c r="D44" s="11"/>
      <c r="E44" s="11"/>
      <c r="F44" s="11"/>
      <c r="G44" s="11"/>
      <c r="H44" s="11"/>
      <c r="I44" s="11"/>
      <c r="J44" s="11"/>
      <c r="K44" s="12"/>
      <c r="L44" s="11"/>
      <c r="M44" s="53"/>
      <c r="N44" s="11"/>
      <c r="O44" s="7"/>
    </row>
    <row r="47" spans="1:15" x14ac:dyDescent="0.2">
      <c r="F47" s="54"/>
      <c r="G47" s="54"/>
      <c r="H47" s="54"/>
    </row>
    <row r="48" spans="1:15" x14ac:dyDescent="0.2">
      <c r="F48" s="54"/>
      <c r="G48" s="54"/>
      <c r="H48" s="54"/>
      <c r="J48" s="55"/>
      <c r="K48" s="55"/>
      <c r="M48" s="8">
        <f>24740-12300-1700</f>
        <v>10740</v>
      </c>
    </row>
    <row r="51" spans="10:13" x14ac:dyDescent="0.2">
      <c r="J51" s="56">
        <f>J28/I28*100</f>
        <v>87.400825134877806</v>
      </c>
    </row>
    <row r="53" spans="10:13" x14ac:dyDescent="0.2">
      <c r="J53" s="55"/>
    </row>
    <row r="56" spans="10:13" x14ac:dyDescent="0.2">
      <c r="M56" s="55"/>
    </row>
  </sheetData>
  <mergeCells count="1">
    <mergeCell ref="A3:M3"/>
  </mergeCells>
  <pageMargins left="0.25" right="0.25" top="0.75" bottom="0.75" header="0.3" footer="0.3"/>
  <pageSetup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8"/>
  <sheetViews>
    <sheetView topLeftCell="A5" zoomScale="81" zoomScaleNormal="80" workbookViewId="0">
      <selection activeCell="A20" sqref="A20:XFD20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8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8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8" ht="15" x14ac:dyDescent="0.25">
      <c r="A3" s="67" t="s">
        <v>151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8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8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8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8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8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8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8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FEB!M10</f>
        <v>250</v>
      </c>
      <c r="G10" s="21">
        <v>100</v>
      </c>
      <c r="H10" s="22">
        <v>500</v>
      </c>
      <c r="I10" s="21">
        <f>D10+E10+F10+G10+H10</f>
        <v>8350</v>
      </c>
      <c r="J10" s="59">
        <f>8350</f>
        <v>8350</v>
      </c>
      <c r="K10" s="58" t="s">
        <v>159</v>
      </c>
      <c r="L10" s="61" t="s">
        <v>150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</row>
    <row r="11" spans="1:18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FEB!M11</f>
        <v>900</v>
      </c>
      <c r="G11" s="21">
        <v>100</v>
      </c>
      <c r="H11" s="21">
        <v>500</v>
      </c>
      <c r="I11" s="21">
        <f t="shared" ref="I11:I27" si="0">D11+E11+F11+G11+H11</f>
        <v>9000</v>
      </c>
      <c r="J11" s="59">
        <f>7850</f>
        <v>7850</v>
      </c>
      <c r="K11" s="57" t="s">
        <v>160</v>
      </c>
      <c r="L11" s="61" t="s">
        <v>150</v>
      </c>
      <c r="M11" s="25">
        <f t="shared" ref="M11:M27" si="1">I11-J11</f>
        <v>1150</v>
      </c>
      <c r="N11" s="29"/>
      <c r="O11" s="22" t="s">
        <v>29</v>
      </c>
      <c r="Q11" s="8" t="s">
        <v>34</v>
      </c>
      <c r="R11" s="8">
        <v>50000</v>
      </c>
    </row>
    <row r="12" spans="1:18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FEB!M12</f>
        <v>800</v>
      </c>
      <c r="G12" s="21">
        <v>100</v>
      </c>
      <c r="H12" s="21">
        <v>449.99999999999932</v>
      </c>
      <c r="I12" s="21">
        <f t="shared" si="0"/>
        <v>8850</v>
      </c>
      <c r="J12" s="63">
        <f>7950</f>
        <v>7950</v>
      </c>
      <c r="K12" s="57" t="s">
        <v>166</v>
      </c>
      <c r="L12" s="61" t="s">
        <v>150</v>
      </c>
      <c r="M12" s="25">
        <f t="shared" si="1"/>
        <v>900</v>
      </c>
      <c r="N12" s="37" t="s">
        <v>38</v>
      </c>
      <c r="O12" s="22" t="s">
        <v>29</v>
      </c>
      <c r="Q12" s="8" t="s">
        <v>39</v>
      </c>
      <c r="R12" s="8">
        <v>140208</v>
      </c>
    </row>
    <row r="13" spans="1:18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FEB!M13</f>
        <v>-100</v>
      </c>
      <c r="G13" s="21">
        <v>100</v>
      </c>
      <c r="H13" s="21">
        <v>149.99999999999991</v>
      </c>
      <c r="I13" s="21">
        <f t="shared" si="0"/>
        <v>7650</v>
      </c>
      <c r="J13" s="63"/>
      <c r="K13" s="62"/>
      <c r="L13" s="61" t="s">
        <v>150</v>
      </c>
      <c r="M13" s="25">
        <f t="shared" si="1"/>
        <v>7650</v>
      </c>
      <c r="N13" s="29" t="s">
        <v>124</v>
      </c>
      <c r="O13" s="22" t="s">
        <v>29</v>
      </c>
      <c r="Q13" s="8" t="s">
        <v>43</v>
      </c>
      <c r="R13" s="8">
        <v>32850</v>
      </c>
    </row>
    <row r="14" spans="1:18" x14ac:dyDescent="0.2">
      <c r="A14" s="19" t="s">
        <v>44</v>
      </c>
      <c r="B14" s="9" t="s">
        <v>135</v>
      </c>
      <c r="C14" s="28" t="s">
        <v>136</v>
      </c>
      <c r="D14" s="21"/>
      <c r="E14" s="21"/>
      <c r="F14" s="21">
        <f>FEB!M14</f>
        <v>6100</v>
      </c>
      <c r="G14" s="21">
        <v>100</v>
      </c>
      <c r="H14" s="21"/>
      <c r="I14" s="21">
        <f t="shared" si="0"/>
        <v>6200</v>
      </c>
      <c r="J14" s="59">
        <f>6200</f>
        <v>6200</v>
      </c>
      <c r="K14" s="57" t="s">
        <v>165</v>
      </c>
      <c r="L14" s="61" t="s">
        <v>150</v>
      </c>
      <c r="M14" s="25">
        <f t="shared" si="1"/>
        <v>0</v>
      </c>
      <c r="N14" s="29"/>
      <c r="O14" s="22" t="s">
        <v>29</v>
      </c>
      <c r="Q14" s="8" t="s">
        <v>45</v>
      </c>
      <c r="R14" s="8">
        <v>32160</v>
      </c>
    </row>
    <row r="15" spans="1:18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FEB!M15</f>
        <v>100</v>
      </c>
      <c r="G15" s="21">
        <v>100</v>
      </c>
      <c r="H15" s="21">
        <v>250</v>
      </c>
      <c r="I15" s="21">
        <f t="shared" si="0"/>
        <v>7950</v>
      </c>
      <c r="J15" s="59">
        <f>7500</f>
        <v>7500</v>
      </c>
      <c r="K15" s="57" t="s">
        <v>157</v>
      </c>
      <c r="L15" s="61" t="s">
        <v>150</v>
      </c>
      <c r="M15" s="25">
        <f t="shared" si="1"/>
        <v>450</v>
      </c>
      <c r="N15" s="29"/>
      <c r="O15" s="22" t="s">
        <v>29</v>
      </c>
      <c r="Q15" s="8" t="s">
        <v>49</v>
      </c>
      <c r="R15" s="8">
        <v>38250</v>
      </c>
    </row>
    <row r="16" spans="1:18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FEB!M16</f>
        <v>5000</v>
      </c>
      <c r="G16" s="21">
        <v>100</v>
      </c>
      <c r="H16" s="21">
        <v>0</v>
      </c>
      <c r="I16" s="21">
        <f t="shared" si="0"/>
        <v>12600</v>
      </c>
      <c r="J16" s="59">
        <f>2500+4000+2000+3800</f>
        <v>12300</v>
      </c>
      <c r="K16" s="57" t="s">
        <v>183</v>
      </c>
      <c r="L16" s="61" t="s">
        <v>150</v>
      </c>
      <c r="M16" s="25">
        <f t="shared" si="1"/>
        <v>300</v>
      </c>
      <c r="N16" s="29"/>
      <c r="O16" s="22" t="s">
        <v>29</v>
      </c>
      <c r="Q16" s="8" t="s">
        <v>53</v>
      </c>
      <c r="R16" s="8">
        <v>50000</v>
      </c>
    </row>
    <row r="17" spans="1:18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FEB!M17</f>
        <v>-900</v>
      </c>
      <c r="G17" s="21">
        <v>100</v>
      </c>
      <c r="H17" s="21">
        <v>250</v>
      </c>
      <c r="I17" s="21">
        <f t="shared" si="0"/>
        <v>6950</v>
      </c>
      <c r="J17" s="59">
        <f>7500+500</f>
        <v>8000</v>
      </c>
      <c r="K17" s="60" t="s">
        <v>152</v>
      </c>
      <c r="L17" s="61" t="s">
        <v>150</v>
      </c>
      <c r="M17" s="25">
        <f t="shared" si="1"/>
        <v>-1050</v>
      </c>
      <c r="N17" s="29"/>
      <c r="O17" s="22" t="s">
        <v>29</v>
      </c>
      <c r="Q17" s="8" t="s">
        <v>57</v>
      </c>
      <c r="R17" s="8">
        <v>60000</v>
      </c>
    </row>
    <row r="18" spans="1:18" x14ac:dyDescent="0.2">
      <c r="A18" s="19" t="s">
        <v>58</v>
      </c>
      <c r="B18" s="9" t="s">
        <v>59</v>
      </c>
      <c r="C18" s="20" t="s">
        <v>60</v>
      </c>
      <c r="D18" s="21"/>
      <c r="E18" s="21">
        <v>7500</v>
      </c>
      <c r="F18" s="21">
        <f>FEB!M18</f>
        <v>3300</v>
      </c>
      <c r="G18" s="21">
        <v>100</v>
      </c>
      <c r="H18" s="21">
        <v>0</v>
      </c>
      <c r="I18" s="21">
        <f t="shared" si="0"/>
        <v>10900</v>
      </c>
      <c r="J18" s="59">
        <f>500+8000</f>
        <v>8500</v>
      </c>
      <c r="K18" s="57" t="s">
        <v>162</v>
      </c>
      <c r="L18" s="61" t="s">
        <v>150</v>
      </c>
      <c r="M18" s="25">
        <f t="shared" si="1"/>
        <v>2400</v>
      </c>
      <c r="N18" s="29"/>
      <c r="O18" s="22" t="s">
        <v>29</v>
      </c>
      <c r="Q18" s="8" t="s">
        <v>61</v>
      </c>
      <c r="R18" s="8">
        <v>150000</v>
      </c>
    </row>
    <row r="19" spans="1:18" x14ac:dyDescent="0.2">
      <c r="A19" s="19" t="s">
        <v>62</v>
      </c>
      <c r="B19" s="19" t="s">
        <v>63</v>
      </c>
      <c r="C19" s="20" t="s">
        <v>64</v>
      </c>
      <c r="D19" s="21">
        <v>0</v>
      </c>
      <c r="E19" s="21">
        <v>7500</v>
      </c>
      <c r="F19" s="21">
        <f>FEB!M19</f>
        <v>2150</v>
      </c>
      <c r="G19" s="21">
        <v>100</v>
      </c>
      <c r="H19" s="21">
        <v>425.00000000000068</v>
      </c>
      <c r="I19" s="21">
        <f t="shared" si="0"/>
        <v>10175</v>
      </c>
      <c r="J19" s="59">
        <f>8100</f>
        <v>8100</v>
      </c>
      <c r="K19" s="57" t="s">
        <v>158</v>
      </c>
      <c r="L19" s="61" t="s">
        <v>150</v>
      </c>
      <c r="M19" s="25">
        <f t="shared" si="1"/>
        <v>2075</v>
      </c>
      <c r="N19" s="29" t="s">
        <v>38</v>
      </c>
      <c r="O19" s="22" t="s">
        <v>29</v>
      </c>
      <c r="Q19" s="8" t="s">
        <v>65</v>
      </c>
      <c r="R19" s="8">
        <v>190000</v>
      </c>
    </row>
    <row r="20" spans="1:18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FEB!M20</f>
        <v>-150</v>
      </c>
      <c r="G20" s="21">
        <v>100</v>
      </c>
      <c r="H20" s="21">
        <v>300.00000000000068</v>
      </c>
      <c r="I20" s="21">
        <f t="shared" si="0"/>
        <v>7750.0000000000009</v>
      </c>
      <c r="J20" s="59">
        <f>7600</f>
        <v>7600</v>
      </c>
      <c r="K20" s="57" t="s">
        <v>154</v>
      </c>
      <c r="L20" s="61" t="s">
        <v>150</v>
      </c>
      <c r="M20" s="25">
        <f t="shared" si="1"/>
        <v>150.00000000000091</v>
      </c>
      <c r="N20" s="29"/>
      <c r="O20" s="22" t="s">
        <v>29</v>
      </c>
      <c r="Q20" s="8" t="s">
        <v>68</v>
      </c>
      <c r="R20" s="8">
        <v>100000</v>
      </c>
    </row>
    <row r="21" spans="1:18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f>FEB!M21</f>
        <v>500</v>
      </c>
      <c r="G21" s="21">
        <v>100</v>
      </c>
      <c r="H21" s="21">
        <v>250</v>
      </c>
      <c r="I21" s="21">
        <f t="shared" si="0"/>
        <v>8350</v>
      </c>
      <c r="J21" s="59">
        <f>7850</f>
        <v>7850</v>
      </c>
      <c r="K21" s="57" t="s">
        <v>182</v>
      </c>
      <c r="L21" s="61" t="s">
        <v>150</v>
      </c>
      <c r="M21" s="25">
        <f t="shared" si="1"/>
        <v>500</v>
      </c>
      <c r="N21" s="29" t="s">
        <v>38</v>
      </c>
      <c r="O21" s="22" t="s">
        <v>29</v>
      </c>
      <c r="Q21" s="8" t="s">
        <v>72</v>
      </c>
      <c r="R21" s="8">
        <v>30000</v>
      </c>
    </row>
    <row r="22" spans="1:18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f>FEB!M22</f>
        <v>1700</v>
      </c>
      <c r="G22" s="21">
        <v>100</v>
      </c>
      <c r="H22" s="21">
        <v>350.00000000000142</v>
      </c>
      <c r="I22" s="21">
        <f t="shared" si="0"/>
        <v>9150.0000000000018</v>
      </c>
      <c r="J22" s="59">
        <f>7000</f>
        <v>7000</v>
      </c>
      <c r="K22" s="57" t="s">
        <v>164</v>
      </c>
      <c r="L22" s="61" t="s">
        <v>150</v>
      </c>
      <c r="M22" s="25">
        <f t="shared" si="1"/>
        <v>2150.0000000000018</v>
      </c>
      <c r="N22" s="29"/>
      <c r="O22" s="22" t="s">
        <v>29</v>
      </c>
      <c r="Q22" s="8" t="s">
        <v>76</v>
      </c>
      <c r="R22" s="8">
        <v>11500</v>
      </c>
    </row>
    <row r="23" spans="1:18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FEB!M23</f>
        <v>0</v>
      </c>
      <c r="G23" s="21">
        <v>100</v>
      </c>
      <c r="H23" s="21">
        <v>250</v>
      </c>
      <c r="I23" s="21">
        <f t="shared" si="0"/>
        <v>7350</v>
      </c>
      <c r="J23" s="59">
        <f>7350</f>
        <v>7350</v>
      </c>
      <c r="K23" s="57" t="s">
        <v>153</v>
      </c>
      <c r="L23" s="61" t="s">
        <v>150</v>
      </c>
      <c r="M23" s="25">
        <f t="shared" si="1"/>
        <v>0</v>
      </c>
      <c r="N23" s="29"/>
      <c r="O23" s="22" t="s">
        <v>29</v>
      </c>
      <c r="Q23" s="8" t="s">
        <v>80</v>
      </c>
      <c r="R23" s="8">
        <v>15500</v>
      </c>
    </row>
    <row r="24" spans="1:18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FEB!M24</f>
        <v>0</v>
      </c>
      <c r="G24" s="21">
        <v>100</v>
      </c>
      <c r="H24" s="21">
        <v>250</v>
      </c>
      <c r="I24" s="21">
        <f t="shared" si="0"/>
        <v>7350</v>
      </c>
      <c r="J24" s="59">
        <f>7100</f>
        <v>7100</v>
      </c>
      <c r="K24" s="58" t="s">
        <v>155</v>
      </c>
      <c r="L24" s="61" t="s">
        <v>150</v>
      </c>
      <c r="M24" s="25">
        <f t="shared" si="1"/>
        <v>250</v>
      </c>
      <c r="N24" s="29"/>
      <c r="O24" s="22" t="s">
        <v>29</v>
      </c>
      <c r="Q24" s="8" t="s">
        <v>84</v>
      </c>
      <c r="R24" s="8">
        <v>43800</v>
      </c>
    </row>
    <row r="25" spans="1:18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FEB!M25</f>
        <v>500</v>
      </c>
      <c r="G25" s="21">
        <v>100</v>
      </c>
      <c r="H25" s="21">
        <v>500</v>
      </c>
      <c r="I25" s="21">
        <f t="shared" si="0"/>
        <v>8100</v>
      </c>
      <c r="J25" s="59">
        <f>7600</f>
        <v>7600</v>
      </c>
      <c r="K25" s="58" t="s">
        <v>156</v>
      </c>
      <c r="L25" s="61" t="s">
        <v>150</v>
      </c>
      <c r="M25" s="25">
        <f t="shared" si="1"/>
        <v>500</v>
      </c>
      <c r="N25" s="29"/>
      <c r="O25" s="22" t="s">
        <v>29</v>
      </c>
      <c r="R25" s="31">
        <f>SUM(R10:R24)</f>
        <v>1094268</v>
      </c>
    </row>
    <row r="26" spans="1:18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f>FEB!M26</f>
        <v>-300</v>
      </c>
      <c r="G26" s="21">
        <v>100</v>
      </c>
      <c r="H26" s="21">
        <v>0</v>
      </c>
      <c r="I26" s="21">
        <f t="shared" si="0"/>
        <v>6800</v>
      </c>
      <c r="J26" s="59">
        <f>7300</f>
        <v>7300</v>
      </c>
      <c r="K26" s="57" t="s">
        <v>161</v>
      </c>
      <c r="L26" s="61" t="s">
        <v>150</v>
      </c>
      <c r="M26" s="25">
        <f t="shared" si="1"/>
        <v>-500</v>
      </c>
      <c r="N26" s="29" t="s">
        <v>38</v>
      </c>
      <c r="O26" s="22" t="s">
        <v>29</v>
      </c>
    </row>
    <row r="27" spans="1:18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FEB!M27</f>
        <v>0</v>
      </c>
      <c r="G27" s="21"/>
      <c r="H27" s="21">
        <v>0</v>
      </c>
      <c r="I27" s="21">
        <f t="shared" si="0"/>
        <v>0</v>
      </c>
      <c r="J27" s="59"/>
      <c r="K27" s="62"/>
      <c r="L27" s="61" t="s">
        <v>150</v>
      </c>
      <c r="M27" s="25">
        <f t="shared" si="1"/>
        <v>0</v>
      </c>
      <c r="N27" s="26"/>
      <c r="O27" s="22" t="s">
        <v>29</v>
      </c>
    </row>
    <row r="28" spans="1:18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117500</v>
      </c>
      <c r="F28" s="34">
        <f>SUM(F10:F27)</f>
        <v>19850</v>
      </c>
      <c r="G28" s="34">
        <f>SUM(G10:G27)</f>
        <v>1700</v>
      </c>
      <c r="H28" s="35">
        <f>SUM(H10:H27)</f>
        <v>4425.0000000000018</v>
      </c>
      <c r="I28" s="34">
        <f>SUM(I10:I27)</f>
        <v>143475</v>
      </c>
      <c r="J28" s="34">
        <f>SUM(J10:J27)</f>
        <v>126550</v>
      </c>
      <c r="K28" s="36"/>
      <c r="L28" s="24"/>
      <c r="M28" s="37">
        <f>SUM(M10:M27)</f>
        <v>16925</v>
      </c>
      <c r="N28" s="4"/>
      <c r="O28" s="7"/>
    </row>
    <row r="29" spans="1:18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8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9634</v>
      </c>
      <c r="K30" s="12"/>
      <c r="L30" s="14" t="s">
        <v>6</v>
      </c>
      <c r="M30" s="25"/>
      <c r="N30" s="11"/>
      <c r="O30" s="7"/>
    </row>
    <row r="31" spans="1:18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1000+1000+1000</f>
        <v>3000</v>
      </c>
      <c r="K31" s="12"/>
      <c r="L31" s="14"/>
      <c r="M31" s="25"/>
      <c r="N31" s="11"/>
      <c r="O31" s="7"/>
    </row>
    <row r="32" spans="1:18" ht="15" x14ac:dyDescent="0.25">
      <c r="A32" s="9" t="s">
        <v>163</v>
      </c>
      <c r="B32" s="10"/>
      <c r="C32" s="10"/>
      <c r="D32" s="14"/>
      <c r="E32" s="14"/>
      <c r="F32" s="14"/>
      <c r="G32" s="14"/>
      <c r="H32" s="14"/>
      <c r="I32" s="14"/>
      <c r="J32" s="38">
        <v>500</v>
      </c>
      <c r="K32" s="12"/>
      <c r="L32" s="14"/>
      <c r="M32" s="25"/>
      <c r="N32" s="11"/>
      <c r="O32" s="7"/>
    </row>
    <row r="33" spans="1:15" ht="15" x14ac:dyDescent="0.25">
      <c r="A33" s="9" t="s">
        <v>149</v>
      </c>
      <c r="B33" s="10"/>
      <c r="C33" s="10"/>
      <c r="D33" s="14"/>
      <c r="E33" s="14"/>
      <c r="F33" s="14"/>
      <c r="G33" s="14" t="s">
        <v>96</v>
      </c>
      <c r="H33" s="14"/>
      <c r="I33" s="14"/>
      <c r="J33" s="38">
        <f>1700</f>
        <v>1700</v>
      </c>
      <c r="K33" s="12"/>
      <c r="L33" s="14"/>
      <c r="M33" s="25"/>
      <c r="N33" s="11"/>
      <c r="O33" s="7"/>
    </row>
    <row r="34" spans="1:15" ht="15" x14ac:dyDescent="0.25">
      <c r="A34" s="9" t="s">
        <v>97</v>
      </c>
      <c r="B34" s="10"/>
      <c r="C34" s="10"/>
      <c r="D34" s="14"/>
      <c r="E34" s="14"/>
      <c r="F34" s="14"/>
      <c r="G34" s="14"/>
      <c r="H34" s="14"/>
      <c r="I34" s="14"/>
      <c r="J34" s="38">
        <f>8300</f>
        <v>8300</v>
      </c>
      <c r="K34" s="12"/>
      <c r="L34" s="14"/>
      <c r="M34" s="25"/>
      <c r="N34" s="11"/>
      <c r="O34" s="7"/>
    </row>
    <row r="35" spans="1:15" ht="15" x14ac:dyDescent="0.25">
      <c r="A35" s="9" t="s">
        <v>122</v>
      </c>
      <c r="B35" s="10"/>
      <c r="C35" s="10"/>
      <c r="D35" s="14"/>
      <c r="E35" s="14"/>
      <c r="F35" s="14"/>
      <c r="G35" s="14"/>
      <c r="H35" s="14"/>
      <c r="I35" s="14"/>
      <c r="J35" s="38">
        <f>1000</f>
        <v>1000</v>
      </c>
      <c r="K35" s="12"/>
      <c r="L35" s="14"/>
      <c r="M35" s="25"/>
      <c r="N35" s="11"/>
      <c r="O35" s="7"/>
    </row>
    <row r="36" spans="1:15" ht="15" x14ac:dyDescent="0.25">
      <c r="A36" s="9" t="s">
        <v>167</v>
      </c>
      <c r="B36" s="10"/>
      <c r="C36" s="10"/>
      <c r="D36" s="14"/>
      <c r="E36" s="14"/>
      <c r="F36" s="14"/>
      <c r="G36" s="14"/>
      <c r="H36" s="14"/>
      <c r="I36" s="14"/>
      <c r="J36" s="38">
        <f>750</f>
        <v>750</v>
      </c>
      <c r="K36" s="12"/>
      <c r="L36" s="14"/>
      <c r="M36" s="25"/>
      <c r="N36" s="11"/>
      <c r="O36" s="7"/>
    </row>
    <row r="37" spans="1:15" ht="15" x14ac:dyDescent="0.25">
      <c r="A37" s="9" t="s">
        <v>168</v>
      </c>
      <c r="B37" s="10"/>
      <c r="C37" s="10"/>
      <c r="D37" s="14"/>
      <c r="E37" s="14"/>
      <c r="F37" s="14"/>
      <c r="G37" s="14"/>
      <c r="H37" s="14"/>
      <c r="I37" s="14"/>
      <c r="J37" s="38">
        <f>3000</f>
        <v>3000</v>
      </c>
      <c r="K37" s="12"/>
      <c r="L37" s="14"/>
      <c r="M37" s="25"/>
      <c r="N37" s="11"/>
      <c r="O37" s="7"/>
    </row>
    <row r="38" spans="1:15" ht="15" x14ac:dyDescent="0.25">
      <c r="A38" s="9"/>
      <c r="B38" s="10"/>
      <c r="C38" s="10"/>
      <c r="D38" s="14"/>
      <c r="E38" s="14"/>
      <c r="F38" s="14"/>
      <c r="G38" s="14"/>
      <c r="H38" s="14"/>
      <c r="I38" s="14"/>
      <c r="J38" s="38"/>
      <c r="K38" s="12"/>
      <c r="L38" s="14"/>
      <c r="M38" s="25"/>
      <c r="N38" s="11"/>
      <c r="O38" s="7"/>
    </row>
    <row r="39" spans="1:15" ht="15" x14ac:dyDescent="0.25">
      <c r="A39" s="13" t="s">
        <v>98</v>
      </c>
      <c r="B39" s="10"/>
      <c r="C39" s="10"/>
      <c r="D39" s="14"/>
      <c r="E39" s="14"/>
      <c r="F39" s="14"/>
      <c r="G39" s="14"/>
      <c r="H39" s="14"/>
      <c r="I39" s="14"/>
      <c r="J39" s="39">
        <f>SUM(J30:J38)</f>
        <v>27884</v>
      </c>
      <c r="K39" s="12"/>
      <c r="L39" s="14"/>
      <c r="M39" s="25"/>
      <c r="N39" s="11"/>
      <c r="O39" s="7"/>
    </row>
    <row r="40" spans="1:15" ht="15" x14ac:dyDescent="0.25">
      <c r="A40" s="13"/>
      <c r="B40" s="10"/>
      <c r="C40" s="10"/>
      <c r="D40" s="14"/>
      <c r="E40" s="14"/>
      <c r="F40" s="14"/>
      <c r="G40" s="14"/>
      <c r="H40" s="14"/>
      <c r="I40" s="14"/>
      <c r="J40" s="39"/>
      <c r="K40" s="12">
        <v>0</v>
      </c>
      <c r="L40" s="14"/>
      <c r="M40" s="25"/>
      <c r="N40" s="11"/>
      <c r="O40" s="7"/>
    </row>
    <row r="41" spans="1:15" ht="15" x14ac:dyDescent="0.25">
      <c r="A41" s="13" t="s">
        <v>99</v>
      </c>
      <c r="B41" s="10"/>
      <c r="C41" s="10"/>
      <c r="D41" s="14"/>
      <c r="E41" s="14" t="s">
        <v>96</v>
      </c>
      <c r="F41" s="14"/>
      <c r="G41" s="14"/>
      <c r="H41" s="14"/>
      <c r="I41" s="14"/>
      <c r="J41" s="39">
        <f>FEB!M41</f>
        <v>-200</v>
      </c>
      <c r="K41" s="12"/>
      <c r="L41" s="14"/>
      <c r="M41" s="25"/>
      <c r="N41" s="11"/>
      <c r="O41" s="7"/>
    </row>
    <row r="42" spans="1:15" ht="15" x14ac:dyDescent="0.25">
      <c r="A42" s="9"/>
      <c r="B42" s="10"/>
      <c r="C42" s="10"/>
      <c r="D42" s="14"/>
      <c r="E42" s="14"/>
      <c r="F42" s="14"/>
      <c r="G42" s="14"/>
      <c r="H42" s="14"/>
      <c r="I42" s="14"/>
      <c r="J42" s="14"/>
      <c r="K42" s="40" t="s">
        <v>100</v>
      </c>
      <c r="L42" s="41" t="s">
        <v>100</v>
      </c>
      <c r="M42" s="42" t="s">
        <v>101</v>
      </c>
      <c r="O42" s="7"/>
    </row>
    <row r="43" spans="1:15" ht="15" x14ac:dyDescent="0.25">
      <c r="A43" s="43" t="s">
        <v>102</v>
      </c>
      <c r="B43" s="33"/>
      <c r="C43" s="33"/>
      <c r="D43" s="34"/>
      <c r="E43" s="34"/>
      <c r="F43" s="34"/>
      <c r="G43" s="34"/>
      <c r="H43" s="34"/>
      <c r="I43" s="34"/>
      <c r="J43" s="34">
        <f>J28-J39+J41</f>
        <v>98466</v>
      </c>
      <c r="K43" s="44">
        <v>80000</v>
      </c>
      <c r="L43" s="45">
        <v>18666</v>
      </c>
      <c r="M43" s="46">
        <f>J43-K43-L43</f>
        <v>-200</v>
      </c>
      <c r="O43" s="7"/>
    </row>
    <row r="44" spans="1:15" ht="15" x14ac:dyDescent="0.25">
      <c r="A44" s="47"/>
      <c r="B44" s="48"/>
      <c r="C44" s="48"/>
      <c r="D44" s="49"/>
      <c r="E44" s="49"/>
      <c r="F44" s="49"/>
      <c r="G44" s="49"/>
      <c r="H44" s="49"/>
      <c r="I44" s="49"/>
      <c r="J44" s="49"/>
      <c r="K44" s="50"/>
      <c r="L44" s="49"/>
      <c r="M44" s="49" t="s">
        <v>96</v>
      </c>
      <c r="N44" s="11"/>
      <c r="O44" s="7"/>
    </row>
    <row r="45" spans="1:15" ht="15" x14ac:dyDescent="0.25">
      <c r="A45" s="12" t="s">
        <v>103</v>
      </c>
      <c r="B45" s="10"/>
      <c r="C45" s="10"/>
      <c r="D45" s="11"/>
      <c r="E45" s="11"/>
      <c r="F45" s="11"/>
      <c r="G45" s="11"/>
      <c r="H45" s="11"/>
      <c r="I45" s="11"/>
      <c r="J45" s="11"/>
      <c r="K45" s="51"/>
      <c r="L45" s="11"/>
      <c r="M45" s="52">
        <v>46112</v>
      </c>
      <c r="N45" s="11"/>
      <c r="O45" s="7"/>
    </row>
    <row r="46" spans="1:15" ht="15" x14ac:dyDescent="0.25">
      <c r="A46" s="9"/>
      <c r="B46" s="10"/>
      <c r="C46" s="10"/>
      <c r="D46" s="11"/>
      <c r="E46" s="11"/>
      <c r="F46" s="11"/>
      <c r="G46" s="11"/>
      <c r="H46" s="11"/>
      <c r="I46" s="11"/>
      <c r="J46" s="11"/>
      <c r="K46" s="12"/>
      <c r="L46" s="11"/>
      <c r="M46" s="53"/>
      <c r="N46" s="11"/>
      <c r="O46" s="7"/>
    </row>
    <row r="49" spans="6:13" x14ac:dyDescent="0.2">
      <c r="F49" s="54"/>
      <c r="G49" s="54"/>
      <c r="H49" s="54"/>
    </row>
    <row r="50" spans="6:13" x14ac:dyDescent="0.2">
      <c r="F50" s="54"/>
      <c r="G50" s="54"/>
      <c r="H50" s="54"/>
      <c r="J50" s="55"/>
      <c r="K50" s="55"/>
      <c r="M50" s="8">
        <f>24740-12300-1700</f>
        <v>10740</v>
      </c>
    </row>
    <row r="53" spans="6:13" x14ac:dyDescent="0.2">
      <c r="J53" s="56">
        <f>J28/I28*100</f>
        <v>88.203519776964626</v>
      </c>
    </row>
    <row r="55" spans="6:13" x14ac:dyDescent="0.2">
      <c r="J55" s="55"/>
    </row>
    <row r="58" spans="6:13" x14ac:dyDescent="0.2">
      <c r="M58" s="55"/>
    </row>
  </sheetData>
  <mergeCells count="1">
    <mergeCell ref="A3:M3"/>
  </mergeCells>
  <pageMargins left="0.25" right="0.25" top="0.75" bottom="0.75" header="0.3" footer="0.3"/>
  <pageSetup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57"/>
  <sheetViews>
    <sheetView topLeftCell="A19" zoomScale="81" zoomScaleNormal="80" workbookViewId="0">
      <selection activeCell="J31" sqref="J31:J36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9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9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9" ht="15" x14ac:dyDescent="0.25">
      <c r="A3" s="67" t="s">
        <v>170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9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9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9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9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9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9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9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MAR!M10</f>
        <v>0</v>
      </c>
      <c r="G10" s="21">
        <v>100</v>
      </c>
      <c r="H10" s="22">
        <v>750</v>
      </c>
      <c r="I10" s="21">
        <f>D10+E10+F10+G10+H10</f>
        <v>8350</v>
      </c>
      <c r="J10" s="59">
        <f>8350</f>
        <v>8350</v>
      </c>
      <c r="K10" s="58" t="s">
        <v>176</v>
      </c>
      <c r="L10" s="61" t="s">
        <v>169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19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MAR!M11</f>
        <v>1150</v>
      </c>
      <c r="G11" s="21">
        <v>100</v>
      </c>
      <c r="H11" s="21">
        <v>500</v>
      </c>
      <c r="I11" s="21">
        <f t="shared" ref="I11:I27" si="0">D11+E11+F11+G11+H11</f>
        <v>9250</v>
      </c>
      <c r="J11" s="59">
        <f>8100</f>
        <v>8100</v>
      </c>
      <c r="K11" s="57" t="s">
        <v>181</v>
      </c>
      <c r="L11" s="61" t="s">
        <v>169</v>
      </c>
      <c r="M11" s="25">
        <f t="shared" ref="M11:M27" si="1">I11-J11</f>
        <v>1150</v>
      </c>
      <c r="N11" s="29"/>
      <c r="O11" s="22" t="s">
        <v>29</v>
      </c>
      <c r="Q11" s="8" t="s">
        <v>34</v>
      </c>
      <c r="R11" s="8">
        <v>50000</v>
      </c>
    </row>
    <row r="12" spans="1:19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MAR!M12</f>
        <v>900</v>
      </c>
      <c r="G12" s="21">
        <v>100</v>
      </c>
      <c r="H12" s="21">
        <v>250</v>
      </c>
      <c r="I12" s="21">
        <f t="shared" si="0"/>
        <v>8750</v>
      </c>
      <c r="J12" s="63">
        <f>7750</f>
        <v>7750</v>
      </c>
      <c r="K12" s="57" t="s">
        <v>187</v>
      </c>
      <c r="L12" s="61" t="s">
        <v>169</v>
      </c>
      <c r="M12" s="25">
        <f t="shared" si="1"/>
        <v>1000</v>
      </c>
      <c r="N12" s="37" t="s">
        <v>38</v>
      </c>
      <c r="O12" s="22" t="s">
        <v>29</v>
      </c>
      <c r="Q12" s="8" t="s">
        <v>39</v>
      </c>
      <c r="R12" s="8">
        <v>140208</v>
      </c>
    </row>
    <row r="13" spans="1:19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MAR!M13</f>
        <v>7650</v>
      </c>
      <c r="G13" s="21">
        <v>100</v>
      </c>
      <c r="H13" s="21">
        <v>250</v>
      </c>
      <c r="I13" s="21">
        <f t="shared" si="0"/>
        <v>15500</v>
      </c>
      <c r="J13" s="63">
        <f>7500+7500</f>
        <v>15000</v>
      </c>
      <c r="K13" s="57" t="s">
        <v>190</v>
      </c>
      <c r="L13" s="61" t="s">
        <v>169</v>
      </c>
      <c r="M13" s="25">
        <f t="shared" si="1"/>
        <v>500</v>
      </c>
      <c r="N13" s="29" t="s">
        <v>124</v>
      </c>
      <c r="O13" s="22" t="s">
        <v>29</v>
      </c>
      <c r="Q13" s="8" t="s">
        <v>43</v>
      </c>
      <c r="R13" s="8">
        <v>32850</v>
      </c>
      <c r="S13" s="8" t="s">
        <v>179</v>
      </c>
    </row>
    <row r="14" spans="1:19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MAR!M14</f>
        <v>0</v>
      </c>
      <c r="G14" s="21">
        <v>100</v>
      </c>
      <c r="H14" s="21">
        <v>250</v>
      </c>
      <c r="I14" s="21">
        <f t="shared" si="0"/>
        <v>7850</v>
      </c>
      <c r="J14" s="59">
        <f>2500+2600+2750</f>
        <v>7850</v>
      </c>
      <c r="K14" s="57" t="s">
        <v>188</v>
      </c>
      <c r="L14" s="61" t="s">
        <v>169</v>
      </c>
      <c r="M14" s="25">
        <f t="shared" si="1"/>
        <v>0</v>
      </c>
      <c r="N14" s="29" t="s">
        <v>38</v>
      </c>
      <c r="O14" s="22" t="s">
        <v>29</v>
      </c>
      <c r="Q14" s="8" t="s">
        <v>45</v>
      </c>
      <c r="R14" s="8">
        <v>32160</v>
      </c>
      <c r="S14" s="8" t="s">
        <v>179</v>
      </c>
    </row>
    <row r="15" spans="1:19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MAR!M15</f>
        <v>450</v>
      </c>
      <c r="G15" s="21">
        <v>100</v>
      </c>
      <c r="H15" s="21">
        <v>500</v>
      </c>
      <c r="I15" s="21">
        <f t="shared" si="0"/>
        <v>8550</v>
      </c>
      <c r="J15" s="59">
        <f>7200</f>
        <v>7200</v>
      </c>
      <c r="K15" s="57" t="s">
        <v>178</v>
      </c>
      <c r="L15" s="61" t="s">
        <v>169</v>
      </c>
      <c r="M15" s="25">
        <f t="shared" si="1"/>
        <v>1350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19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MAR!M16</f>
        <v>300</v>
      </c>
      <c r="G16" s="21">
        <v>100</v>
      </c>
      <c r="H16" s="21">
        <v>500</v>
      </c>
      <c r="I16" s="21">
        <f t="shared" si="0"/>
        <v>8400</v>
      </c>
      <c r="J16" s="59">
        <f>3200+1500</f>
        <v>4700</v>
      </c>
      <c r="K16" s="57" t="s">
        <v>189</v>
      </c>
      <c r="L16" s="61" t="s">
        <v>169</v>
      </c>
      <c r="M16" s="25">
        <f t="shared" si="1"/>
        <v>3700</v>
      </c>
      <c r="N16" s="29"/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MAR!M17</f>
        <v>-1050</v>
      </c>
      <c r="G17" s="21">
        <v>100</v>
      </c>
      <c r="H17" s="21">
        <v>750</v>
      </c>
      <c r="I17" s="21">
        <f t="shared" si="0"/>
        <v>7300</v>
      </c>
      <c r="J17" s="59">
        <f>7500+500</f>
        <v>8000</v>
      </c>
      <c r="K17" s="58" t="s">
        <v>180</v>
      </c>
      <c r="L17" s="61" t="s">
        <v>169</v>
      </c>
      <c r="M17" s="25">
        <f t="shared" si="1"/>
        <v>-700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111</v>
      </c>
      <c r="C18" s="20"/>
      <c r="D18" s="21"/>
      <c r="E18" s="21"/>
      <c r="F18" s="21"/>
      <c r="G18" s="21"/>
      <c r="H18" s="21"/>
      <c r="I18" s="21">
        <f t="shared" si="0"/>
        <v>0</v>
      </c>
      <c r="J18" s="59"/>
      <c r="K18" s="62"/>
      <c r="L18" s="61" t="s">
        <v>169</v>
      </c>
      <c r="M18" s="25">
        <f t="shared" si="1"/>
        <v>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v>2400</v>
      </c>
      <c r="G19" s="21">
        <v>100</v>
      </c>
      <c r="H19" s="21">
        <v>750</v>
      </c>
      <c r="I19" s="21">
        <f>D19+E19+F19+G19+H19</f>
        <v>10750</v>
      </c>
      <c r="J19" s="59">
        <v>7500</v>
      </c>
      <c r="K19" s="57" t="s">
        <v>184</v>
      </c>
      <c r="L19" s="61" t="s">
        <v>169</v>
      </c>
      <c r="M19" s="25">
        <f t="shared" si="1"/>
        <v>3250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MAR!M20</f>
        <v>150.00000000000091</v>
      </c>
      <c r="G20" s="21">
        <v>100</v>
      </c>
      <c r="H20" s="21"/>
      <c r="I20" s="21">
        <f t="shared" si="0"/>
        <v>7750.0000000000009</v>
      </c>
      <c r="J20" s="59">
        <f>7750</f>
        <v>7750</v>
      </c>
      <c r="K20" s="57" t="s">
        <v>173</v>
      </c>
      <c r="L20" s="61" t="s">
        <v>169</v>
      </c>
      <c r="M20" s="25">
        <f t="shared" si="1"/>
        <v>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f>MAR!M21</f>
        <v>500</v>
      </c>
      <c r="G21" s="21">
        <v>100</v>
      </c>
      <c r="H21" s="21">
        <v>500</v>
      </c>
      <c r="I21" s="21">
        <f t="shared" si="0"/>
        <v>8600</v>
      </c>
      <c r="J21" s="59">
        <f>7600</f>
        <v>7600</v>
      </c>
      <c r="K21" s="57" t="s">
        <v>175</v>
      </c>
      <c r="L21" s="61" t="s">
        <v>169</v>
      </c>
      <c r="M21" s="25">
        <f t="shared" si="1"/>
        <v>1000</v>
      </c>
      <c r="N21" s="29" t="s">
        <v>38</v>
      </c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f>MAR!M22</f>
        <v>2150.0000000000018</v>
      </c>
      <c r="G22" s="21">
        <v>100</v>
      </c>
      <c r="H22" s="21">
        <v>500</v>
      </c>
      <c r="I22" s="21">
        <f t="shared" si="0"/>
        <v>9750.0000000000018</v>
      </c>
      <c r="J22" s="59">
        <f>7000</f>
        <v>7000</v>
      </c>
      <c r="K22" s="57" t="s">
        <v>185</v>
      </c>
      <c r="L22" s="61" t="s">
        <v>169</v>
      </c>
      <c r="M22" s="25">
        <f t="shared" si="1"/>
        <v>2750.0000000000018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MAR!M23</f>
        <v>0</v>
      </c>
      <c r="G23" s="21">
        <v>100</v>
      </c>
      <c r="H23" s="21">
        <v>500</v>
      </c>
      <c r="I23" s="21">
        <f t="shared" si="0"/>
        <v>7600</v>
      </c>
      <c r="J23" s="59">
        <f>7350</f>
        <v>7350</v>
      </c>
      <c r="K23" s="57" t="s">
        <v>186</v>
      </c>
      <c r="L23" s="61" t="s">
        <v>169</v>
      </c>
      <c r="M23" s="25">
        <f t="shared" si="1"/>
        <v>250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MAR!M24</f>
        <v>250</v>
      </c>
      <c r="G24" s="21">
        <v>100</v>
      </c>
      <c r="H24" s="21">
        <v>500</v>
      </c>
      <c r="I24" s="21">
        <f t="shared" si="0"/>
        <v>7850</v>
      </c>
      <c r="J24" s="59">
        <f>7300</f>
        <v>7300</v>
      </c>
      <c r="K24" s="58" t="s">
        <v>171</v>
      </c>
      <c r="L24" s="61" t="s">
        <v>169</v>
      </c>
      <c r="M24" s="25">
        <f t="shared" si="1"/>
        <v>550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MAR!M25</f>
        <v>500</v>
      </c>
      <c r="G25" s="21">
        <v>100</v>
      </c>
      <c r="H25" s="21">
        <v>750</v>
      </c>
      <c r="I25" s="21">
        <f t="shared" si="0"/>
        <v>8350</v>
      </c>
      <c r="J25" s="59">
        <f>7600</f>
        <v>7600</v>
      </c>
      <c r="K25" s="58" t="s">
        <v>174</v>
      </c>
      <c r="L25" s="61" t="s">
        <v>169</v>
      </c>
      <c r="M25" s="25">
        <f t="shared" si="1"/>
        <v>750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f>MAR!M26</f>
        <v>-500</v>
      </c>
      <c r="G26" s="21">
        <v>100</v>
      </c>
      <c r="H26" s="21">
        <v>500</v>
      </c>
      <c r="I26" s="21">
        <f t="shared" si="0"/>
        <v>7100</v>
      </c>
      <c r="J26" s="59">
        <f>6000</f>
        <v>6000</v>
      </c>
      <c r="K26" s="57" t="s">
        <v>177</v>
      </c>
      <c r="L26" s="61" t="s">
        <v>169</v>
      </c>
      <c r="M26" s="25">
        <f t="shared" si="1"/>
        <v>1100</v>
      </c>
      <c r="N26" s="29" t="s">
        <v>38</v>
      </c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MAR!M27</f>
        <v>0</v>
      </c>
      <c r="G27" s="21"/>
      <c r="H27" s="21"/>
      <c r="I27" s="21">
        <f t="shared" si="0"/>
        <v>0</v>
      </c>
      <c r="J27" s="59"/>
      <c r="K27" s="62"/>
      <c r="L27" s="61" t="s">
        <v>169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117500</v>
      </c>
      <c r="F28" s="34">
        <f>SUM(F10:F27)</f>
        <v>14850.000000000002</v>
      </c>
      <c r="G28" s="34">
        <f>SUM(G10:G27)</f>
        <v>1600</v>
      </c>
      <c r="H28" s="35">
        <f>SUM(H10:H27)</f>
        <v>7750</v>
      </c>
      <c r="I28" s="34">
        <f>SUM(I10:I27)</f>
        <v>141700</v>
      </c>
      <c r="J28" s="34">
        <f>SUM(J10:J27)</f>
        <v>125050</v>
      </c>
      <c r="K28" s="36"/>
      <c r="L28" s="24"/>
      <c r="M28" s="37">
        <f>SUM(M10:M27)</f>
        <v>16650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9256</v>
      </c>
      <c r="K30" s="12"/>
      <c r="L30" s="14" t="s">
        <v>6</v>
      </c>
      <c r="M30" s="25"/>
      <c r="N30" s="11"/>
      <c r="O30" s="7"/>
    </row>
    <row r="31" spans="1:19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1000+1000+1000</f>
        <v>3000</v>
      </c>
      <c r="K31" s="12"/>
      <c r="L31" s="14"/>
      <c r="M31" s="25"/>
      <c r="N31" s="11"/>
      <c r="O31" s="7"/>
    </row>
    <row r="32" spans="1:19" ht="15" x14ac:dyDescent="0.25">
      <c r="A32" s="9" t="s">
        <v>191</v>
      </c>
      <c r="B32" s="10"/>
      <c r="C32" s="10"/>
      <c r="D32" s="14"/>
      <c r="E32" s="14"/>
      <c r="F32" s="14"/>
      <c r="G32" s="14"/>
      <c r="H32" s="14"/>
      <c r="I32" s="14"/>
      <c r="J32" s="38">
        <v>2500</v>
      </c>
      <c r="K32" s="12"/>
      <c r="L32" s="14"/>
      <c r="M32" s="25"/>
      <c r="N32" s="11"/>
      <c r="O32" s="7"/>
    </row>
    <row r="33" spans="1:15" ht="15" x14ac:dyDescent="0.25">
      <c r="A33" s="9" t="s">
        <v>149</v>
      </c>
      <c r="B33" s="10"/>
      <c r="C33" s="10"/>
      <c r="D33" s="14"/>
      <c r="E33" s="14"/>
      <c r="F33" s="14"/>
      <c r="G33" s="14" t="s">
        <v>96</v>
      </c>
      <c r="H33" s="14"/>
      <c r="I33" s="14"/>
      <c r="J33" s="38">
        <f>1700</f>
        <v>1700</v>
      </c>
      <c r="K33" s="12"/>
      <c r="L33" s="14"/>
      <c r="M33" s="25"/>
      <c r="N33" s="11"/>
      <c r="O33" s="7"/>
    </row>
    <row r="34" spans="1:15" ht="15" x14ac:dyDescent="0.25">
      <c r="A34" s="9" t="s">
        <v>97</v>
      </c>
      <c r="B34" s="10"/>
      <c r="C34" s="10"/>
      <c r="D34" s="14"/>
      <c r="E34" s="14"/>
      <c r="F34" s="14"/>
      <c r="G34" s="14"/>
      <c r="H34" s="14"/>
      <c r="I34" s="14"/>
      <c r="J34" s="38">
        <f>11300</f>
        <v>11300</v>
      </c>
      <c r="K34" s="12"/>
      <c r="L34" s="14"/>
      <c r="M34" s="25"/>
      <c r="N34" s="11"/>
      <c r="O34" s="7"/>
    </row>
    <row r="35" spans="1:15" ht="15" x14ac:dyDescent="0.25">
      <c r="A35" s="9" t="s">
        <v>122</v>
      </c>
      <c r="B35" s="10"/>
      <c r="C35" s="10"/>
      <c r="D35" s="14"/>
      <c r="E35" s="14"/>
      <c r="F35" s="14"/>
      <c r="G35" s="14"/>
      <c r="H35" s="14"/>
      <c r="I35" s="14"/>
      <c r="J35" s="38">
        <v>1000</v>
      </c>
      <c r="K35" s="12"/>
      <c r="L35" s="14"/>
      <c r="M35" s="25"/>
      <c r="N35" s="11"/>
      <c r="O35" s="7"/>
    </row>
    <row r="36" spans="1:15" ht="15" x14ac:dyDescent="0.25">
      <c r="A36" s="9" t="s">
        <v>192</v>
      </c>
      <c r="B36" s="10"/>
      <c r="C36" s="10"/>
      <c r="D36" s="14"/>
      <c r="E36" s="14"/>
      <c r="F36" s="14"/>
      <c r="G36" s="14"/>
      <c r="H36" s="14"/>
      <c r="I36" s="14"/>
      <c r="J36" s="38">
        <f>600</f>
        <v>600</v>
      </c>
      <c r="K36" s="12"/>
      <c r="L36" s="14"/>
      <c r="M36" s="25"/>
      <c r="N36" s="11"/>
      <c r="O36" s="7"/>
    </row>
    <row r="37" spans="1:15" ht="15" x14ac:dyDescent="0.25">
      <c r="A37" s="9"/>
      <c r="B37" s="10"/>
      <c r="C37" s="10"/>
      <c r="D37" s="14"/>
      <c r="E37" s="14"/>
      <c r="F37" s="14"/>
      <c r="G37" s="14"/>
      <c r="H37" s="14"/>
      <c r="I37" s="14"/>
      <c r="J37" s="38"/>
      <c r="K37" s="12"/>
      <c r="L37" s="14"/>
      <c r="M37" s="25"/>
      <c r="N37" s="11"/>
      <c r="O37" s="7"/>
    </row>
    <row r="38" spans="1:15" ht="15" x14ac:dyDescent="0.25">
      <c r="A38" s="13" t="s">
        <v>98</v>
      </c>
      <c r="B38" s="10"/>
      <c r="C38" s="10"/>
      <c r="D38" s="14"/>
      <c r="E38" s="14"/>
      <c r="F38" s="14"/>
      <c r="G38" s="14"/>
      <c r="H38" s="14"/>
      <c r="I38" s="14"/>
      <c r="J38" s="39">
        <f>SUM(J30:J37)</f>
        <v>29356</v>
      </c>
      <c r="K38" s="12"/>
      <c r="L38" s="14"/>
      <c r="M38" s="25"/>
      <c r="N38" s="11"/>
      <c r="O38" s="7"/>
    </row>
    <row r="39" spans="1:15" ht="15" x14ac:dyDescent="0.25">
      <c r="A39" s="13"/>
      <c r="B39" s="10"/>
      <c r="C39" s="10"/>
      <c r="D39" s="14"/>
      <c r="E39" s="14"/>
      <c r="F39" s="14"/>
      <c r="G39" s="14"/>
      <c r="H39" s="14"/>
      <c r="I39" s="14"/>
      <c r="J39" s="39"/>
      <c r="K39" s="12">
        <v>0</v>
      </c>
      <c r="L39" s="14"/>
      <c r="M39" s="25"/>
      <c r="N39" s="11"/>
      <c r="O39" s="7"/>
    </row>
    <row r="40" spans="1:15" ht="15" x14ac:dyDescent="0.25">
      <c r="A40" s="13" t="s">
        <v>99</v>
      </c>
      <c r="B40" s="10"/>
      <c r="C40" s="10"/>
      <c r="D40" s="14"/>
      <c r="E40" s="14" t="s">
        <v>96</v>
      </c>
      <c r="F40" s="14"/>
      <c r="G40" s="14"/>
      <c r="H40" s="14"/>
      <c r="I40" s="14"/>
      <c r="J40" s="39">
        <f>MAR!M43</f>
        <v>-200</v>
      </c>
      <c r="K40" s="12"/>
      <c r="L40" s="14"/>
      <c r="M40" s="25"/>
      <c r="N40" s="11"/>
      <c r="O40" s="7"/>
    </row>
    <row r="41" spans="1:15" ht="15" x14ac:dyDescent="0.25">
      <c r="A41" s="9"/>
      <c r="B41" s="10"/>
      <c r="C41" s="10"/>
      <c r="D41" s="14"/>
      <c r="E41" s="14"/>
      <c r="F41" s="14"/>
      <c r="G41" s="14"/>
      <c r="H41" s="14"/>
      <c r="I41" s="14"/>
      <c r="J41" s="14"/>
      <c r="K41" s="40" t="s">
        <v>100</v>
      </c>
      <c r="L41" s="41" t="s">
        <v>100</v>
      </c>
      <c r="M41" s="42" t="s">
        <v>101</v>
      </c>
      <c r="O41" s="7"/>
    </row>
    <row r="42" spans="1:15" ht="15" x14ac:dyDescent="0.25">
      <c r="A42" s="43" t="s">
        <v>102</v>
      </c>
      <c r="B42" s="33"/>
      <c r="C42" s="33"/>
      <c r="D42" s="34"/>
      <c r="E42" s="34"/>
      <c r="F42" s="34"/>
      <c r="G42" s="34"/>
      <c r="H42" s="34"/>
      <c r="I42" s="34"/>
      <c r="J42" s="34">
        <f>J28-J38+J40</f>
        <v>95494</v>
      </c>
      <c r="K42" s="44">
        <v>80000</v>
      </c>
      <c r="L42" s="45">
        <v>15634</v>
      </c>
      <c r="M42" s="46">
        <f>J42-K42-L42</f>
        <v>-140</v>
      </c>
      <c r="O42" s="7"/>
    </row>
    <row r="43" spans="1:15" ht="15" x14ac:dyDescent="0.25">
      <c r="A43" s="47"/>
      <c r="B43" s="48"/>
      <c r="C43" s="48"/>
      <c r="D43" s="49"/>
      <c r="E43" s="49"/>
      <c r="F43" s="49"/>
      <c r="G43" s="49"/>
      <c r="H43" s="49"/>
      <c r="I43" s="49"/>
      <c r="J43" s="49"/>
      <c r="K43" s="50"/>
      <c r="L43" s="49"/>
      <c r="M43" s="49" t="s">
        <v>96</v>
      </c>
      <c r="N43" s="11"/>
      <c r="O43" s="7"/>
    </row>
    <row r="44" spans="1:15" ht="15" x14ac:dyDescent="0.25">
      <c r="A44" s="12" t="s">
        <v>103</v>
      </c>
      <c r="B44" s="10"/>
      <c r="C44" s="10"/>
      <c r="D44" s="11"/>
      <c r="E44" s="11"/>
      <c r="F44" s="11"/>
      <c r="G44" s="11"/>
      <c r="H44" s="11"/>
      <c r="I44" s="11"/>
      <c r="J44" s="11"/>
      <c r="K44" s="51"/>
      <c r="L44" s="11"/>
      <c r="M44" s="52">
        <v>46142</v>
      </c>
      <c r="N44" s="11"/>
      <c r="O44" s="7"/>
    </row>
    <row r="45" spans="1:15" ht="15" x14ac:dyDescent="0.25">
      <c r="A45" s="9"/>
      <c r="B45" s="10"/>
      <c r="C45" s="10"/>
      <c r="D45" s="11"/>
      <c r="E45" s="11"/>
      <c r="F45" s="11"/>
      <c r="G45" s="11"/>
      <c r="H45" s="11"/>
      <c r="I45" s="11"/>
      <c r="J45" s="11"/>
      <c r="K45" s="12"/>
      <c r="L45" s="11"/>
      <c r="M45" s="53"/>
      <c r="N45" s="11"/>
      <c r="O45" s="7"/>
    </row>
    <row r="48" spans="1:15" x14ac:dyDescent="0.2">
      <c r="F48" s="54"/>
      <c r="G48" s="54"/>
      <c r="H48" s="54"/>
    </row>
    <row r="49" spans="6:13" x14ac:dyDescent="0.2">
      <c r="F49" s="54"/>
      <c r="G49" s="54"/>
      <c r="H49" s="54"/>
      <c r="J49" s="55"/>
      <c r="K49" s="55"/>
      <c r="M49" s="8">
        <f>24740-12300-1700</f>
        <v>10740</v>
      </c>
    </row>
    <row r="52" spans="6:13" x14ac:dyDescent="0.2">
      <c r="J52" s="56">
        <f>J28/I28*100</f>
        <v>88.249823570924491</v>
      </c>
    </row>
    <row r="54" spans="6:13" x14ac:dyDescent="0.2">
      <c r="J54" s="55"/>
    </row>
    <row r="57" spans="6:13" x14ac:dyDescent="0.2">
      <c r="M57" s="55"/>
    </row>
  </sheetData>
  <mergeCells count="1">
    <mergeCell ref="A3:M3"/>
  </mergeCells>
  <pageMargins left="0.25" right="0.25" top="0.75" bottom="0.75" header="0.3" footer="0.3"/>
  <pageSetup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55"/>
  <sheetViews>
    <sheetView zoomScale="81" zoomScaleNormal="80" workbookViewId="0">
      <selection activeCell="A23" sqref="A23:XFD23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22.285156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9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9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9" ht="15" x14ac:dyDescent="0.25">
      <c r="A3" s="67" t="s">
        <v>194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9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9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9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9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9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9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9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APR!M10</f>
        <v>0</v>
      </c>
      <c r="G10" s="21">
        <v>100</v>
      </c>
      <c r="H10" s="22">
        <v>500</v>
      </c>
      <c r="I10" s="21">
        <f>D10+E10+F10+G10+H10</f>
        <v>8100</v>
      </c>
      <c r="J10" s="21">
        <f>8100</f>
        <v>8100</v>
      </c>
      <c r="K10" s="23" t="s">
        <v>203</v>
      </c>
      <c r="L10" s="24" t="s">
        <v>193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19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APR!M11</f>
        <v>1150</v>
      </c>
      <c r="G11" s="21">
        <v>100</v>
      </c>
      <c r="H11" s="21">
        <v>250</v>
      </c>
      <c r="I11" s="21">
        <f t="shared" ref="I11:I27" si="0">D11+E11+F11+G11+H11</f>
        <v>9000</v>
      </c>
      <c r="J11" s="21">
        <f>7850</f>
        <v>7850</v>
      </c>
      <c r="K11" s="27" t="s">
        <v>205</v>
      </c>
      <c r="L11" s="24" t="s">
        <v>193</v>
      </c>
      <c r="M11" s="25">
        <f t="shared" ref="M11:M27" si="1">I11-J11</f>
        <v>1150</v>
      </c>
      <c r="N11" s="29"/>
      <c r="O11" s="22" t="s">
        <v>29</v>
      </c>
      <c r="Q11" s="8" t="s">
        <v>34</v>
      </c>
      <c r="R11" s="8">
        <v>50000</v>
      </c>
    </row>
    <row r="12" spans="1:19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APR!M12</f>
        <v>1000</v>
      </c>
      <c r="G12" s="21">
        <v>100</v>
      </c>
      <c r="H12" s="21">
        <v>250</v>
      </c>
      <c r="I12" s="21">
        <f t="shared" si="0"/>
        <v>8850</v>
      </c>
      <c r="J12" s="14">
        <f>7950</f>
        <v>7950</v>
      </c>
      <c r="K12" s="27" t="s">
        <v>202</v>
      </c>
      <c r="L12" s="24" t="s">
        <v>193</v>
      </c>
      <c r="M12" s="25">
        <f t="shared" si="1"/>
        <v>900</v>
      </c>
      <c r="N12" s="37" t="s">
        <v>38</v>
      </c>
      <c r="O12" s="22" t="s">
        <v>29</v>
      </c>
      <c r="Q12" s="8" t="s">
        <v>39</v>
      </c>
      <c r="R12" s="8">
        <v>140208</v>
      </c>
    </row>
    <row r="13" spans="1:19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APR!M13</f>
        <v>500</v>
      </c>
      <c r="G13" s="21">
        <v>100</v>
      </c>
      <c r="H13" s="21">
        <v>250</v>
      </c>
      <c r="I13" s="21">
        <f t="shared" si="0"/>
        <v>8350</v>
      </c>
      <c r="J13" s="14">
        <f>6500</f>
        <v>6500</v>
      </c>
      <c r="K13" s="27" t="s">
        <v>210</v>
      </c>
      <c r="L13" s="24" t="s">
        <v>193</v>
      </c>
      <c r="M13" s="25">
        <f t="shared" si="1"/>
        <v>1850</v>
      </c>
      <c r="N13" s="29"/>
      <c r="O13" s="22" t="s">
        <v>29</v>
      </c>
      <c r="Q13" s="8" t="s">
        <v>43</v>
      </c>
      <c r="R13" s="8">
        <v>32850</v>
      </c>
      <c r="S13" s="8" t="s">
        <v>179</v>
      </c>
    </row>
    <row r="14" spans="1:19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APR!M14</f>
        <v>0</v>
      </c>
      <c r="G14" s="21">
        <v>100</v>
      </c>
      <c r="H14" s="21">
        <v>250</v>
      </c>
      <c r="I14" s="21">
        <f t="shared" si="0"/>
        <v>7850</v>
      </c>
      <c r="J14" s="21">
        <f>7500</f>
        <v>7500</v>
      </c>
      <c r="K14" s="27" t="s">
        <v>209</v>
      </c>
      <c r="L14" s="24" t="s">
        <v>193</v>
      </c>
      <c r="M14" s="25">
        <f t="shared" si="1"/>
        <v>350</v>
      </c>
      <c r="N14" s="29" t="s">
        <v>38</v>
      </c>
      <c r="O14" s="22" t="s">
        <v>29</v>
      </c>
      <c r="Q14" s="8" t="s">
        <v>45</v>
      </c>
      <c r="R14" s="8">
        <v>32160</v>
      </c>
      <c r="S14" s="8" t="s">
        <v>179</v>
      </c>
    </row>
    <row r="15" spans="1:19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APR!M15</f>
        <v>1350</v>
      </c>
      <c r="G15" s="21">
        <v>100</v>
      </c>
      <c r="H15" s="21">
        <v>500</v>
      </c>
      <c r="I15" s="21">
        <f t="shared" si="0"/>
        <v>9450</v>
      </c>
      <c r="J15" s="21">
        <f>8100</f>
        <v>8100</v>
      </c>
      <c r="K15" s="27" t="s">
        <v>201</v>
      </c>
      <c r="L15" s="24" t="s">
        <v>193</v>
      </c>
      <c r="M15" s="25">
        <f t="shared" si="1"/>
        <v>1350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19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APR!M16</f>
        <v>3700</v>
      </c>
      <c r="G16" s="21">
        <v>100</v>
      </c>
      <c r="H16" s="21">
        <v>750</v>
      </c>
      <c r="I16" s="21">
        <f t="shared" si="0"/>
        <v>12050</v>
      </c>
      <c r="J16" s="21">
        <f>2500+2000</f>
        <v>4500</v>
      </c>
      <c r="K16" s="27" t="s">
        <v>208</v>
      </c>
      <c r="L16" s="24" t="s">
        <v>193</v>
      </c>
      <c r="M16" s="25">
        <f t="shared" si="1"/>
        <v>7550</v>
      </c>
      <c r="N16" s="29" t="s">
        <v>214</v>
      </c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APR!M17</f>
        <v>-700</v>
      </c>
      <c r="G17" s="21">
        <v>100</v>
      </c>
      <c r="H17" s="21">
        <v>500</v>
      </c>
      <c r="I17" s="21">
        <f t="shared" si="0"/>
        <v>7400</v>
      </c>
      <c r="J17" s="21">
        <f>7500+500</f>
        <v>8000</v>
      </c>
      <c r="K17" s="23" t="s">
        <v>198</v>
      </c>
      <c r="L17" s="24" t="s">
        <v>193</v>
      </c>
      <c r="M17" s="25">
        <f t="shared" si="1"/>
        <v>-600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111</v>
      </c>
      <c r="C18" s="20"/>
      <c r="D18" s="21"/>
      <c r="E18" s="21"/>
      <c r="F18" s="21">
        <f>APR!M18</f>
        <v>0</v>
      </c>
      <c r="G18" s="21"/>
      <c r="H18" s="21">
        <v>250</v>
      </c>
      <c r="I18" s="21">
        <f t="shared" si="0"/>
        <v>250</v>
      </c>
      <c r="J18" s="21"/>
      <c r="K18" s="27"/>
      <c r="L18" s="24" t="s">
        <v>193</v>
      </c>
      <c r="M18" s="25">
        <f t="shared" si="1"/>
        <v>250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f>APR!M19</f>
        <v>3250</v>
      </c>
      <c r="G19" s="21">
        <v>100</v>
      </c>
      <c r="H19" s="21">
        <v>250</v>
      </c>
      <c r="I19" s="21">
        <f t="shared" si="0"/>
        <v>11100</v>
      </c>
      <c r="J19" s="21">
        <f>4000+3000</f>
        <v>7000</v>
      </c>
      <c r="K19" s="27" t="s">
        <v>206</v>
      </c>
      <c r="L19" s="24" t="s">
        <v>193</v>
      </c>
      <c r="M19" s="25">
        <f t="shared" si="1"/>
        <v>4100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APR!M20</f>
        <v>0</v>
      </c>
      <c r="G20" s="21">
        <v>100</v>
      </c>
      <c r="H20" s="21"/>
      <c r="I20" s="21">
        <f t="shared" si="0"/>
        <v>7600</v>
      </c>
      <c r="J20" s="21">
        <f>7600</f>
        <v>7600</v>
      </c>
      <c r="K20" s="27" t="s">
        <v>196</v>
      </c>
      <c r="L20" s="24" t="s">
        <v>193</v>
      </c>
      <c r="M20" s="25">
        <f t="shared" si="1"/>
        <v>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f>APR!M21</f>
        <v>1000</v>
      </c>
      <c r="G21" s="21">
        <v>100</v>
      </c>
      <c r="H21" s="21">
        <v>0</v>
      </c>
      <c r="I21" s="21">
        <f t="shared" si="0"/>
        <v>8600</v>
      </c>
      <c r="J21" s="21">
        <f>7600</f>
        <v>7600</v>
      </c>
      <c r="K21" s="27" t="s">
        <v>207</v>
      </c>
      <c r="L21" s="24" t="s">
        <v>193</v>
      </c>
      <c r="M21" s="25">
        <f t="shared" si="1"/>
        <v>1000</v>
      </c>
      <c r="N21" s="29" t="s">
        <v>38</v>
      </c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f>APR!M22</f>
        <v>2750.0000000000018</v>
      </c>
      <c r="G22" s="21">
        <v>100</v>
      </c>
      <c r="H22" s="21">
        <v>250</v>
      </c>
      <c r="I22" s="21">
        <f t="shared" si="0"/>
        <v>10100.000000000002</v>
      </c>
      <c r="J22" s="21">
        <f>7000</f>
        <v>7000</v>
      </c>
      <c r="K22" s="27" t="s">
        <v>204</v>
      </c>
      <c r="L22" s="24" t="s">
        <v>193</v>
      </c>
      <c r="M22" s="25">
        <f t="shared" si="1"/>
        <v>3100.0000000000018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APR!M23</f>
        <v>250</v>
      </c>
      <c r="G23" s="21">
        <v>100</v>
      </c>
      <c r="H23" s="21"/>
      <c r="I23" s="21">
        <f t="shared" si="0"/>
        <v>7350</v>
      </c>
      <c r="J23" s="21">
        <f>21600</f>
        <v>21600</v>
      </c>
      <c r="K23" s="27" t="s">
        <v>199</v>
      </c>
      <c r="L23" s="24" t="s">
        <v>193</v>
      </c>
      <c r="M23" s="25">
        <f t="shared" si="1"/>
        <v>-14250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APR!M24</f>
        <v>550</v>
      </c>
      <c r="G24" s="21">
        <v>100</v>
      </c>
      <c r="H24" s="21">
        <v>500</v>
      </c>
      <c r="I24" s="21">
        <f t="shared" si="0"/>
        <v>8150</v>
      </c>
      <c r="J24" s="21">
        <f>7650</f>
        <v>7650</v>
      </c>
      <c r="K24" s="23" t="s">
        <v>200</v>
      </c>
      <c r="L24" s="24" t="s">
        <v>193</v>
      </c>
      <c r="M24" s="25">
        <f t="shared" si="1"/>
        <v>500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APR!M25</f>
        <v>750</v>
      </c>
      <c r="G25" s="21">
        <v>100</v>
      </c>
      <c r="H25" s="21">
        <v>500</v>
      </c>
      <c r="I25" s="21">
        <f t="shared" si="0"/>
        <v>8350</v>
      </c>
      <c r="J25" s="21">
        <f>7350</f>
        <v>7350</v>
      </c>
      <c r="K25" s="23" t="s">
        <v>197</v>
      </c>
      <c r="L25" s="24" t="s">
        <v>193</v>
      </c>
      <c r="M25" s="25">
        <f t="shared" si="1"/>
        <v>1000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f>APR!M26</f>
        <v>1100</v>
      </c>
      <c r="G26" s="21">
        <v>100</v>
      </c>
      <c r="H26" s="21">
        <v>500</v>
      </c>
      <c r="I26" s="21">
        <f t="shared" si="0"/>
        <v>8700</v>
      </c>
      <c r="J26" s="21">
        <f>7300</f>
        <v>7300</v>
      </c>
      <c r="K26" s="27" t="s">
        <v>195</v>
      </c>
      <c r="L26" s="24" t="s">
        <v>193</v>
      </c>
      <c r="M26" s="25">
        <f t="shared" si="1"/>
        <v>1400</v>
      </c>
      <c r="N26" s="29" t="s">
        <v>38</v>
      </c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APR!M27</f>
        <v>0</v>
      </c>
      <c r="G27" s="21"/>
      <c r="H27" s="21"/>
      <c r="I27" s="21">
        <f t="shared" si="0"/>
        <v>0</v>
      </c>
      <c r="J27" s="21"/>
      <c r="K27" s="27"/>
      <c r="L27" s="24" t="s">
        <v>193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117500</v>
      </c>
      <c r="F28" s="34">
        <f>SUM(F10:F27)</f>
        <v>16650</v>
      </c>
      <c r="G28" s="34">
        <f>SUM(G10:G27)</f>
        <v>1600</v>
      </c>
      <c r="H28" s="35">
        <f>SUM(H10:H27)</f>
        <v>5500</v>
      </c>
      <c r="I28" s="34">
        <f>SUM(I10:I27)</f>
        <v>141250</v>
      </c>
      <c r="J28" s="34">
        <f>SUM(J10:J27)</f>
        <v>131600</v>
      </c>
      <c r="K28" s="36"/>
      <c r="L28" s="24"/>
      <c r="M28" s="37">
        <f>SUM(M10:M27)</f>
        <v>9650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9960</v>
      </c>
      <c r="K30" s="12"/>
      <c r="L30" s="14" t="s">
        <v>6</v>
      </c>
      <c r="M30" s="25"/>
      <c r="N30" s="11"/>
      <c r="O30" s="7"/>
    </row>
    <row r="31" spans="1:19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1000+1000+1000</f>
        <v>3000</v>
      </c>
      <c r="K31" s="12"/>
      <c r="L31" s="14"/>
      <c r="M31" s="25"/>
      <c r="N31" s="11"/>
      <c r="O31" s="7"/>
    </row>
    <row r="32" spans="1:19" ht="15" x14ac:dyDescent="0.25">
      <c r="A32" s="9" t="s">
        <v>149</v>
      </c>
      <c r="B32" s="10"/>
      <c r="C32" s="10"/>
      <c r="D32" s="14"/>
      <c r="E32" s="14"/>
      <c r="F32" s="14"/>
      <c r="G32" s="14" t="s">
        <v>96</v>
      </c>
      <c r="H32" s="14"/>
      <c r="I32" s="14"/>
      <c r="J32" s="38">
        <f>1700</f>
        <v>1700</v>
      </c>
      <c r="K32" s="12"/>
      <c r="L32" s="14"/>
      <c r="M32" s="25"/>
      <c r="N32" s="11"/>
      <c r="O32" s="7"/>
    </row>
    <row r="33" spans="1:15" ht="15" x14ac:dyDescent="0.25">
      <c r="A33" s="9" t="s">
        <v>97</v>
      </c>
      <c r="B33" s="10"/>
      <c r="C33" s="10"/>
      <c r="D33" s="14"/>
      <c r="E33" s="14"/>
      <c r="F33" s="14"/>
      <c r="G33" s="14"/>
      <c r="H33" s="14"/>
      <c r="I33" s="14"/>
      <c r="J33" s="38">
        <f>8300</f>
        <v>8300</v>
      </c>
      <c r="K33" s="12"/>
      <c r="L33" s="14"/>
      <c r="M33" s="25"/>
      <c r="N33" s="11"/>
      <c r="O33" s="7"/>
    </row>
    <row r="34" spans="1:15" ht="15" x14ac:dyDescent="0.25">
      <c r="A34" s="9" t="s">
        <v>122</v>
      </c>
      <c r="B34" s="10"/>
      <c r="C34" s="10"/>
      <c r="D34" s="14"/>
      <c r="E34" s="14"/>
      <c r="F34" s="14"/>
      <c r="G34" s="14"/>
      <c r="H34" s="14"/>
      <c r="I34" s="14"/>
      <c r="J34" s="38">
        <v>1000</v>
      </c>
      <c r="K34" s="12"/>
      <c r="L34" s="14"/>
      <c r="M34" s="25"/>
      <c r="N34" s="11"/>
      <c r="O34" s="7"/>
    </row>
    <row r="35" spans="1:15" ht="15" x14ac:dyDescent="0.25">
      <c r="A35" s="9" t="s">
        <v>211</v>
      </c>
      <c r="B35" s="10"/>
      <c r="C35" s="10"/>
      <c r="D35" s="14"/>
      <c r="E35" s="14"/>
      <c r="F35" s="14"/>
      <c r="G35" s="14"/>
      <c r="H35" s="14"/>
      <c r="I35" s="14"/>
      <c r="J35" s="38">
        <f>6450</f>
        <v>6450</v>
      </c>
      <c r="K35" s="12"/>
      <c r="L35" s="14"/>
      <c r="M35" s="25"/>
      <c r="N35" s="11"/>
      <c r="O35" s="7"/>
    </row>
    <row r="36" spans="1:15" ht="15" x14ac:dyDescent="0.25">
      <c r="A36" s="13" t="s">
        <v>98</v>
      </c>
      <c r="B36" s="10"/>
      <c r="C36" s="10"/>
      <c r="D36" s="14"/>
      <c r="E36" s="14"/>
      <c r="F36" s="14"/>
      <c r="G36" s="14"/>
      <c r="H36" s="14"/>
      <c r="I36" s="14"/>
      <c r="J36" s="39">
        <f>SUM(J30:J35)</f>
        <v>30410</v>
      </c>
      <c r="K36" s="12"/>
      <c r="L36" s="14"/>
      <c r="M36" s="25"/>
      <c r="N36" s="11"/>
      <c r="O36" s="7"/>
    </row>
    <row r="37" spans="1:15" ht="15" x14ac:dyDescent="0.25">
      <c r="A37" s="13"/>
      <c r="B37" s="10"/>
      <c r="C37" s="10"/>
      <c r="D37" s="14"/>
      <c r="E37" s="14"/>
      <c r="F37" s="14"/>
      <c r="G37" s="14"/>
      <c r="H37" s="14"/>
      <c r="I37" s="14"/>
      <c r="J37" s="39"/>
      <c r="K37" s="12">
        <v>0</v>
      </c>
      <c r="L37" s="14"/>
      <c r="M37" s="25"/>
      <c r="N37" s="11"/>
      <c r="O37" s="7"/>
    </row>
    <row r="38" spans="1:15" ht="15" x14ac:dyDescent="0.25">
      <c r="A38" s="13" t="s">
        <v>99</v>
      </c>
      <c r="B38" s="10"/>
      <c r="C38" s="10"/>
      <c r="D38" s="14"/>
      <c r="E38" s="14" t="s">
        <v>96</v>
      </c>
      <c r="F38" s="14"/>
      <c r="G38" s="14"/>
      <c r="H38" s="14"/>
      <c r="I38" s="14"/>
      <c r="J38" s="39">
        <f>APR!M42</f>
        <v>-140</v>
      </c>
      <c r="K38" s="12"/>
      <c r="L38" s="14"/>
      <c r="M38" s="25"/>
      <c r="N38" s="11"/>
      <c r="O38" s="7"/>
    </row>
    <row r="39" spans="1:15" ht="15" x14ac:dyDescent="0.25">
      <c r="A39" s="9"/>
      <c r="B39" s="10"/>
      <c r="C39" s="10"/>
      <c r="D39" s="14"/>
      <c r="E39" s="14"/>
      <c r="F39" s="14"/>
      <c r="G39" s="14"/>
      <c r="H39" s="14"/>
      <c r="I39" s="14"/>
      <c r="J39" s="14"/>
      <c r="K39" s="40" t="s">
        <v>100</v>
      </c>
      <c r="L39" s="41" t="s">
        <v>100</v>
      </c>
      <c r="M39" s="42" t="s">
        <v>101</v>
      </c>
      <c r="O39" s="7"/>
    </row>
    <row r="40" spans="1:15" ht="15" x14ac:dyDescent="0.25">
      <c r="A40" s="43" t="s">
        <v>102</v>
      </c>
      <c r="B40" s="33"/>
      <c r="C40" s="33"/>
      <c r="D40" s="34"/>
      <c r="E40" s="34"/>
      <c r="F40" s="34"/>
      <c r="G40" s="34"/>
      <c r="H40" s="34"/>
      <c r="I40" s="34"/>
      <c r="J40" s="34">
        <f>J28-J36+J38</f>
        <v>101050</v>
      </c>
      <c r="K40" s="44">
        <v>80000</v>
      </c>
      <c r="L40" s="45">
        <v>21750</v>
      </c>
      <c r="M40" s="46">
        <f>J40-K40-L40</f>
        <v>-700</v>
      </c>
      <c r="O40" s="7"/>
    </row>
    <row r="41" spans="1:15" ht="15" x14ac:dyDescent="0.25">
      <c r="A41" s="47"/>
      <c r="B41" s="48"/>
      <c r="C41" s="48"/>
      <c r="D41" s="49"/>
      <c r="E41" s="49"/>
      <c r="F41" s="49"/>
      <c r="G41" s="49"/>
      <c r="H41" s="49"/>
      <c r="I41" s="49"/>
      <c r="J41" s="49"/>
      <c r="K41" s="50"/>
      <c r="L41" s="49"/>
      <c r="M41" s="49" t="s">
        <v>96</v>
      </c>
      <c r="N41" s="11"/>
      <c r="O41" s="7"/>
    </row>
    <row r="42" spans="1:15" ht="15" x14ac:dyDescent="0.25">
      <c r="A42" s="12" t="s">
        <v>103</v>
      </c>
      <c r="B42" s="10"/>
      <c r="C42" s="10"/>
      <c r="D42" s="11"/>
      <c r="E42" s="11"/>
      <c r="F42" s="11"/>
      <c r="G42" s="11"/>
      <c r="H42" s="11"/>
      <c r="I42" s="11"/>
      <c r="J42" s="11"/>
      <c r="K42" s="51"/>
      <c r="L42" s="11"/>
      <c r="M42" s="52">
        <v>46173</v>
      </c>
      <c r="N42" s="11"/>
      <c r="O42" s="7"/>
    </row>
    <row r="43" spans="1:15" ht="15" x14ac:dyDescent="0.25">
      <c r="A43" s="9"/>
      <c r="B43" s="10"/>
      <c r="C43" s="10"/>
      <c r="D43" s="11"/>
      <c r="E43" s="11"/>
      <c r="F43" s="11"/>
      <c r="G43" s="11"/>
      <c r="H43" s="11"/>
      <c r="I43" s="11"/>
      <c r="J43" s="11"/>
      <c r="K43" s="12"/>
      <c r="L43" s="11"/>
      <c r="M43" s="53"/>
      <c r="N43" s="11"/>
      <c r="O43" s="7"/>
    </row>
    <row r="46" spans="1:15" x14ac:dyDescent="0.2">
      <c r="F46" s="54"/>
      <c r="G46" s="54"/>
      <c r="H46" s="54"/>
    </row>
    <row r="47" spans="1:15" x14ac:dyDescent="0.2">
      <c r="F47" s="54"/>
      <c r="G47" s="54"/>
      <c r="H47" s="54"/>
      <c r="J47" s="55"/>
      <c r="K47" s="55"/>
      <c r="M47" s="8">
        <f>24740-12300-1700</f>
        <v>10740</v>
      </c>
    </row>
    <row r="50" spans="10:13" x14ac:dyDescent="0.2">
      <c r="J50" s="56">
        <f>J28/I28*100</f>
        <v>93.16814159292035</v>
      </c>
    </row>
    <row r="52" spans="10:13" x14ac:dyDescent="0.2">
      <c r="J52" s="55"/>
    </row>
    <row r="55" spans="10:13" x14ac:dyDescent="0.2">
      <c r="M55" s="55"/>
    </row>
  </sheetData>
  <mergeCells count="1">
    <mergeCell ref="A3:M3"/>
  </mergeCells>
  <pageMargins left="0.25" right="0.25" top="0.75" bottom="0.75" header="0.3" footer="0.3"/>
  <pageSetup scale="6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54"/>
  <sheetViews>
    <sheetView topLeftCell="A4" zoomScale="81" zoomScaleNormal="80" workbookViewId="0">
      <selection activeCell="A23" sqref="A23:XFD23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9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9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9" ht="15" x14ac:dyDescent="0.25">
      <c r="A3" s="67" t="s">
        <v>213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9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9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9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9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9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9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9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MAY!M10</f>
        <v>0</v>
      </c>
      <c r="G10" s="21">
        <v>100</v>
      </c>
      <c r="H10" s="22">
        <v>500</v>
      </c>
      <c r="I10" s="21">
        <f>D10+E10+F10+G10+H10</f>
        <v>8100</v>
      </c>
      <c r="J10" s="21">
        <f>8100</f>
        <v>8100</v>
      </c>
      <c r="K10" s="58" t="s">
        <v>215</v>
      </c>
      <c r="L10" s="24" t="s">
        <v>212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19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MAY!M11</f>
        <v>1150</v>
      </c>
      <c r="G11" s="21">
        <v>100</v>
      </c>
      <c r="H11" s="21">
        <v>1000</v>
      </c>
      <c r="I11" s="21">
        <f t="shared" ref="I11:I27" si="0">D11+E11+F11+G11+H11</f>
        <v>9750</v>
      </c>
      <c r="J11" s="21">
        <f>8100</f>
        <v>8100</v>
      </c>
      <c r="K11" s="57" t="s">
        <v>223</v>
      </c>
      <c r="L11" s="24" t="s">
        <v>212</v>
      </c>
      <c r="M11" s="25">
        <f t="shared" ref="M11:M27" si="1">I11-J11</f>
        <v>1650</v>
      </c>
      <c r="N11" s="29"/>
      <c r="O11" s="22" t="s">
        <v>29</v>
      </c>
      <c r="Q11" s="8" t="s">
        <v>34</v>
      </c>
      <c r="R11" s="8">
        <v>50000</v>
      </c>
    </row>
    <row r="12" spans="1:19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MAY!M12</f>
        <v>900</v>
      </c>
      <c r="G12" s="21">
        <v>100</v>
      </c>
      <c r="H12" s="21">
        <v>750</v>
      </c>
      <c r="I12" s="21">
        <f t="shared" si="0"/>
        <v>9250</v>
      </c>
      <c r="J12" s="14">
        <f>7750</f>
        <v>7750</v>
      </c>
      <c r="K12" s="57" t="s">
        <v>216</v>
      </c>
      <c r="L12" s="24" t="s">
        <v>212</v>
      </c>
      <c r="M12" s="25">
        <f t="shared" si="1"/>
        <v>1500</v>
      </c>
      <c r="N12" s="37"/>
      <c r="O12" s="22" t="s">
        <v>29</v>
      </c>
      <c r="Q12" s="8" t="s">
        <v>39</v>
      </c>
      <c r="R12" s="8">
        <v>140208</v>
      </c>
    </row>
    <row r="13" spans="1:19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MAY!M13</f>
        <v>1850</v>
      </c>
      <c r="G13" s="21">
        <v>100</v>
      </c>
      <c r="H13" s="21">
        <v>750</v>
      </c>
      <c r="I13" s="21">
        <f t="shared" si="0"/>
        <v>10200</v>
      </c>
      <c r="J13" s="14"/>
      <c r="K13" s="27"/>
      <c r="L13" s="24" t="s">
        <v>212</v>
      </c>
      <c r="M13" s="25">
        <f t="shared" si="1"/>
        <v>10200</v>
      </c>
      <c r="N13" s="29" t="s">
        <v>124</v>
      </c>
      <c r="O13" s="22" t="s">
        <v>29</v>
      </c>
      <c r="Q13" s="8" t="s">
        <v>43</v>
      </c>
      <c r="R13" s="8">
        <v>32850</v>
      </c>
      <c r="S13" s="8" t="s">
        <v>179</v>
      </c>
    </row>
    <row r="14" spans="1:19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MAY!M14</f>
        <v>350</v>
      </c>
      <c r="G14" s="21">
        <v>100</v>
      </c>
      <c r="H14" s="21">
        <v>250</v>
      </c>
      <c r="I14" s="21">
        <f t="shared" si="0"/>
        <v>8200</v>
      </c>
      <c r="J14" s="21">
        <f>7500</f>
        <v>7500</v>
      </c>
      <c r="K14" s="57" t="s">
        <v>222</v>
      </c>
      <c r="L14" s="24" t="s">
        <v>212</v>
      </c>
      <c r="M14" s="25">
        <f t="shared" si="1"/>
        <v>700</v>
      </c>
      <c r="N14" s="29"/>
      <c r="O14" s="22" t="s">
        <v>29</v>
      </c>
      <c r="Q14" s="8" t="s">
        <v>45</v>
      </c>
      <c r="R14" s="8">
        <v>32160</v>
      </c>
      <c r="S14" s="8" t="s">
        <v>179</v>
      </c>
    </row>
    <row r="15" spans="1:19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MAY!M15</f>
        <v>1350</v>
      </c>
      <c r="G15" s="21">
        <v>100</v>
      </c>
      <c r="H15" s="21">
        <v>250</v>
      </c>
      <c r="I15" s="21">
        <f t="shared" si="0"/>
        <v>9200</v>
      </c>
      <c r="J15" s="21">
        <f>1350+6000</f>
        <v>7350</v>
      </c>
      <c r="K15" s="57" t="s">
        <v>221</v>
      </c>
      <c r="L15" s="24" t="s">
        <v>212</v>
      </c>
      <c r="M15" s="25">
        <f t="shared" si="1"/>
        <v>1850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19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MAY!M16</f>
        <v>7550</v>
      </c>
      <c r="G16" s="21">
        <v>100</v>
      </c>
      <c r="H16" s="21">
        <v>750</v>
      </c>
      <c r="I16" s="21">
        <f t="shared" si="0"/>
        <v>15900</v>
      </c>
      <c r="J16" s="21">
        <f>2800+2500</f>
        <v>5300</v>
      </c>
      <c r="K16" s="57" t="s">
        <v>227</v>
      </c>
      <c r="L16" s="24" t="s">
        <v>212</v>
      </c>
      <c r="M16" s="25">
        <f t="shared" si="1"/>
        <v>10600</v>
      </c>
      <c r="N16" s="29" t="s">
        <v>124</v>
      </c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MAY!M17</f>
        <v>-600</v>
      </c>
      <c r="G17" s="21">
        <v>100</v>
      </c>
      <c r="H17" s="21">
        <v>1000</v>
      </c>
      <c r="I17" s="21">
        <f t="shared" si="0"/>
        <v>8000</v>
      </c>
      <c r="J17" s="21">
        <f>7500+500</f>
        <v>8000</v>
      </c>
      <c r="K17" s="58" t="s">
        <v>228</v>
      </c>
      <c r="L17" s="24" t="s">
        <v>212</v>
      </c>
      <c r="M17" s="25">
        <f t="shared" si="1"/>
        <v>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111</v>
      </c>
      <c r="C18" s="20"/>
      <c r="D18" s="21"/>
      <c r="E18" s="21"/>
      <c r="F18" s="21"/>
      <c r="G18" s="21"/>
      <c r="H18" s="21"/>
      <c r="I18" s="21">
        <f t="shared" si="0"/>
        <v>0</v>
      </c>
      <c r="J18" s="21"/>
      <c r="K18" s="27"/>
      <c r="L18" s="24" t="s">
        <v>212</v>
      </c>
      <c r="M18" s="25">
        <f t="shared" si="1"/>
        <v>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f>MAY!M19</f>
        <v>4100</v>
      </c>
      <c r="G19" s="21">
        <v>100</v>
      </c>
      <c r="H19" s="21">
        <v>1000</v>
      </c>
      <c r="I19" s="21">
        <f t="shared" si="0"/>
        <v>12700</v>
      </c>
      <c r="J19" s="21">
        <f>8500</f>
        <v>8500</v>
      </c>
      <c r="K19" s="57" t="s">
        <v>219</v>
      </c>
      <c r="L19" s="24" t="s">
        <v>212</v>
      </c>
      <c r="M19" s="25">
        <f t="shared" si="1"/>
        <v>4200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MAY!M20</f>
        <v>0</v>
      </c>
      <c r="G20" s="21">
        <v>100</v>
      </c>
      <c r="H20" s="21">
        <v>0</v>
      </c>
      <c r="I20" s="21">
        <f t="shared" si="0"/>
        <v>7600</v>
      </c>
      <c r="J20" s="21">
        <f>7600</f>
        <v>7600</v>
      </c>
      <c r="K20" s="57" t="s">
        <v>217</v>
      </c>
      <c r="L20" s="24" t="s">
        <v>212</v>
      </c>
      <c r="M20" s="25">
        <f t="shared" si="1"/>
        <v>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f>MAY!M21</f>
        <v>1000</v>
      </c>
      <c r="G21" s="21">
        <v>100</v>
      </c>
      <c r="H21" s="21">
        <v>1000</v>
      </c>
      <c r="I21" s="21">
        <f t="shared" si="0"/>
        <v>9600</v>
      </c>
      <c r="J21" s="21">
        <f>7850</f>
        <v>7850</v>
      </c>
      <c r="K21" s="57" t="s">
        <v>226</v>
      </c>
      <c r="L21" s="24" t="s">
        <v>212</v>
      </c>
      <c r="M21" s="25">
        <f t="shared" si="1"/>
        <v>1750</v>
      </c>
      <c r="N21" s="29"/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f>MAY!M22</f>
        <v>3100.0000000000018</v>
      </c>
      <c r="G22" s="21">
        <v>100</v>
      </c>
      <c r="H22" s="21">
        <v>1000</v>
      </c>
      <c r="I22" s="21">
        <f t="shared" si="0"/>
        <v>11200.000000000002</v>
      </c>
      <c r="J22" s="21">
        <f>7500</f>
        <v>7500</v>
      </c>
      <c r="K22" s="57" t="s">
        <v>218</v>
      </c>
      <c r="L22" s="24" t="s">
        <v>212</v>
      </c>
      <c r="M22" s="25">
        <f t="shared" si="1"/>
        <v>3700.0000000000018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MAY!M23</f>
        <v>-14250</v>
      </c>
      <c r="G23" s="21">
        <v>100</v>
      </c>
      <c r="H23" s="21"/>
      <c r="I23" s="21">
        <f t="shared" si="0"/>
        <v>-7150</v>
      </c>
      <c r="J23" s="21"/>
      <c r="K23" s="27"/>
      <c r="L23" s="24" t="s">
        <v>212</v>
      </c>
      <c r="M23" s="25">
        <f t="shared" si="1"/>
        <v>-7150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MAY!M24</f>
        <v>500</v>
      </c>
      <c r="G24" s="21">
        <v>100</v>
      </c>
      <c r="H24" s="21">
        <v>500</v>
      </c>
      <c r="I24" s="21">
        <f t="shared" si="0"/>
        <v>8100</v>
      </c>
      <c r="J24" s="21">
        <f>7100</f>
        <v>7100</v>
      </c>
      <c r="K24" s="58" t="s">
        <v>225</v>
      </c>
      <c r="L24" s="24" t="s">
        <v>212</v>
      </c>
      <c r="M24" s="25">
        <f t="shared" si="1"/>
        <v>1000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MAY!M25</f>
        <v>1000</v>
      </c>
      <c r="G25" s="21">
        <v>100</v>
      </c>
      <c r="H25" s="21">
        <v>750</v>
      </c>
      <c r="I25" s="21">
        <f t="shared" si="0"/>
        <v>8850</v>
      </c>
      <c r="J25" s="21">
        <f>7600</f>
        <v>7600</v>
      </c>
      <c r="K25" s="58" t="s">
        <v>220</v>
      </c>
      <c r="L25" s="24" t="s">
        <v>212</v>
      </c>
      <c r="M25" s="25">
        <f t="shared" si="1"/>
        <v>1250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f>MAY!M26</f>
        <v>1400</v>
      </c>
      <c r="G26" s="21">
        <v>100</v>
      </c>
      <c r="H26" s="21">
        <v>1000</v>
      </c>
      <c r="I26" s="21">
        <f t="shared" si="0"/>
        <v>9500</v>
      </c>
      <c r="J26" s="21">
        <f>7000</f>
        <v>7000</v>
      </c>
      <c r="K26" s="57" t="s">
        <v>224</v>
      </c>
      <c r="L26" s="24" t="s">
        <v>212</v>
      </c>
      <c r="M26" s="25">
        <f t="shared" si="1"/>
        <v>2500</v>
      </c>
      <c r="N26" s="29"/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MAY!M27</f>
        <v>0</v>
      </c>
      <c r="G27" s="21"/>
      <c r="H27" s="21"/>
      <c r="I27" s="21">
        <f t="shared" si="0"/>
        <v>0</v>
      </c>
      <c r="J27" s="21"/>
      <c r="K27" s="27"/>
      <c r="L27" s="24" t="s">
        <v>212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117500</v>
      </c>
      <c r="F28" s="34">
        <f>SUM(F10:F27)</f>
        <v>9400</v>
      </c>
      <c r="G28" s="34">
        <f>SUM(G10:G27)</f>
        <v>1600</v>
      </c>
      <c r="H28" s="35">
        <f>SUM(H10:H27)</f>
        <v>10500</v>
      </c>
      <c r="I28" s="34">
        <f>SUM(I10:I27)</f>
        <v>139000</v>
      </c>
      <c r="J28" s="34">
        <f>SUM(J10:J27)</f>
        <v>105250</v>
      </c>
      <c r="K28" s="36"/>
      <c r="L28" s="24"/>
      <c r="M28" s="37">
        <f>SUM(M10:M27)</f>
        <v>33750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7452</v>
      </c>
      <c r="K30" s="12"/>
      <c r="L30" s="14" t="s">
        <v>6</v>
      </c>
      <c r="M30" s="25"/>
      <c r="N30" s="11"/>
      <c r="O30" s="7"/>
    </row>
    <row r="31" spans="1:19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1000+1000+1000</f>
        <v>3000</v>
      </c>
      <c r="K31" s="12"/>
      <c r="L31" s="14"/>
      <c r="M31" s="25"/>
      <c r="N31" s="11"/>
      <c r="O31" s="7"/>
    </row>
    <row r="32" spans="1:19" ht="15" x14ac:dyDescent="0.25">
      <c r="A32" s="9" t="s">
        <v>149</v>
      </c>
      <c r="B32" s="10"/>
      <c r="C32" s="10"/>
      <c r="D32" s="14"/>
      <c r="E32" s="14"/>
      <c r="F32" s="14"/>
      <c r="G32" s="14" t="s">
        <v>96</v>
      </c>
      <c r="H32" s="14"/>
      <c r="I32" s="14"/>
      <c r="J32" s="38">
        <f>1700</f>
        <v>1700</v>
      </c>
      <c r="K32" s="12"/>
      <c r="L32" s="14"/>
      <c r="M32" s="25"/>
      <c r="N32" s="11"/>
      <c r="O32" s="7"/>
    </row>
    <row r="33" spans="1:15" ht="15" x14ac:dyDescent="0.25">
      <c r="A33" s="9" t="s">
        <v>97</v>
      </c>
      <c r="B33" s="10"/>
      <c r="C33" s="10"/>
      <c r="D33" s="14"/>
      <c r="E33" s="14"/>
      <c r="F33" s="14"/>
      <c r="G33" s="14"/>
      <c r="H33" s="14"/>
      <c r="I33" s="14"/>
      <c r="J33" s="38"/>
      <c r="K33" s="12"/>
      <c r="L33" s="14"/>
      <c r="M33" s="25"/>
      <c r="N33" s="11"/>
      <c r="O33" s="7"/>
    </row>
    <row r="34" spans="1:15" ht="15" x14ac:dyDescent="0.25">
      <c r="A34" s="9" t="s">
        <v>122</v>
      </c>
      <c r="B34" s="10"/>
      <c r="C34" s="10"/>
      <c r="D34" s="14"/>
      <c r="E34" s="14"/>
      <c r="F34" s="14"/>
      <c r="G34" s="14"/>
      <c r="H34" s="14"/>
      <c r="I34" s="14"/>
      <c r="J34" s="38">
        <v>1000</v>
      </c>
      <c r="K34" s="12"/>
      <c r="L34" s="14"/>
      <c r="M34" s="25"/>
      <c r="N34" s="11"/>
      <c r="O34" s="7"/>
    </row>
    <row r="35" spans="1:15" ht="15" x14ac:dyDescent="0.25">
      <c r="A35" s="13" t="s">
        <v>98</v>
      </c>
      <c r="B35" s="10"/>
      <c r="C35" s="10"/>
      <c r="D35" s="14"/>
      <c r="E35" s="14"/>
      <c r="F35" s="14"/>
      <c r="G35" s="14"/>
      <c r="H35" s="14"/>
      <c r="I35" s="14"/>
      <c r="J35" s="39">
        <f>SUM(J30:J34)</f>
        <v>13152</v>
      </c>
      <c r="K35" s="12"/>
      <c r="L35" s="14"/>
      <c r="M35" s="25"/>
      <c r="N35" s="11"/>
      <c r="O35" s="7"/>
    </row>
    <row r="36" spans="1:15" ht="15" x14ac:dyDescent="0.25">
      <c r="A36" s="13"/>
      <c r="B36" s="10"/>
      <c r="C36" s="10"/>
      <c r="D36" s="14"/>
      <c r="E36" s="14"/>
      <c r="F36" s="14"/>
      <c r="G36" s="14"/>
      <c r="H36" s="14"/>
      <c r="I36" s="14"/>
      <c r="J36" s="39"/>
      <c r="K36" s="12">
        <v>0</v>
      </c>
      <c r="L36" s="14"/>
      <c r="M36" s="25"/>
      <c r="N36" s="11"/>
      <c r="O36" s="7"/>
    </row>
    <row r="37" spans="1:15" ht="15" x14ac:dyDescent="0.25">
      <c r="A37" s="13" t="s">
        <v>99</v>
      </c>
      <c r="B37" s="10"/>
      <c r="C37" s="10"/>
      <c r="D37" s="14"/>
      <c r="E37" s="14" t="s">
        <v>96</v>
      </c>
      <c r="F37" s="14"/>
      <c r="G37" s="14"/>
      <c r="H37" s="14"/>
      <c r="I37" s="14"/>
      <c r="J37" s="39">
        <f>MAY!M40</f>
        <v>-700</v>
      </c>
      <c r="K37" s="12"/>
      <c r="L37" s="14"/>
      <c r="M37" s="25"/>
      <c r="N37" s="11"/>
      <c r="O37" s="7"/>
    </row>
    <row r="38" spans="1:15" ht="15" x14ac:dyDescent="0.25">
      <c r="A38" s="9"/>
      <c r="B38" s="10"/>
      <c r="C38" s="10"/>
      <c r="D38" s="14"/>
      <c r="E38" s="14"/>
      <c r="F38" s="14"/>
      <c r="G38" s="14"/>
      <c r="H38" s="14"/>
      <c r="I38" s="14"/>
      <c r="J38" s="14"/>
      <c r="K38" s="40" t="s">
        <v>100</v>
      </c>
      <c r="L38" s="41" t="s">
        <v>100</v>
      </c>
      <c r="M38" s="42" t="s">
        <v>101</v>
      </c>
      <c r="O38" s="7"/>
    </row>
    <row r="39" spans="1:15" ht="15" x14ac:dyDescent="0.25">
      <c r="A39" s="43" t="s">
        <v>102</v>
      </c>
      <c r="B39" s="33"/>
      <c r="C39" s="33"/>
      <c r="D39" s="34"/>
      <c r="E39" s="34"/>
      <c r="F39" s="34"/>
      <c r="G39" s="34"/>
      <c r="H39" s="34"/>
      <c r="I39" s="34"/>
      <c r="J39" s="34">
        <f>J28-J35+J37</f>
        <v>91398</v>
      </c>
      <c r="K39" s="44">
        <v>80000</v>
      </c>
      <c r="L39" s="45">
        <v>13578</v>
      </c>
      <c r="M39" s="46">
        <f>J39-K39-L39</f>
        <v>-2180</v>
      </c>
      <c r="O39" s="7"/>
    </row>
    <row r="40" spans="1:15" ht="15" x14ac:dyDescent="0.25">
      <c r="A40" s="47"/>
      <c r="B40" s="48"/>
      <c r="C40" s="48"/>
      <c r="D40" s="49"/>
      <c r="E40" s="49"/>
      <c r="F40" s="49"/>
      <c r="G40" s="49"/>
      <c r="H40" s="49"/>
      <c r="I40" s="49"/>
      <c r="J40" s="49"/>
      <c r="K40" s="50"/>
      <c r="L40" s="49"/>
      <c r="M40" s="49" t="s">
        <v>96</v>
      </c>
      <c r="N40" s="11"/>
      <c r="O40" s="7"/>
    </row>
    <row r="41" spans="1:15" ht="15" x14ac:dyDescent="0.25">
      <c r="A41" s="12" t="s">
        <v>103</v>
      </c>
      <c r="B41" s="10"/>
      <c r="C41" s="10"/>
      <c r="D41" s="11"/>
      <c r="E41" s="11"/>
      <c r="F41" s="11"/>
      <c r="G41" s="11"/>
      <c r="H41" s="11"/>
      <c r="I41" s="11"/>
      <c r="J41" s="11"/>
      <c r="K41" s="51"/>
      <c r="L41" s="11"/>
      <c r="M41" s="52">
        <v>46203</v>
      </c>
      <c r="N41" s="11"/>
      <c r="O41" s="7"/>
    </row>
    <row r="42" spans="1:15" ht="15" x14ac:dyDescent="0.25">
      <c r="A42" s="9"/>
      <c r="B42" s="10"/>
      <c r="C42" s="10"/>
      <c r="D42" s="11"/>
      <c r="E42" s="11"/>
      <c r="F42" s="11"/>
      <c r="G42" s="11"/>
      <c r="H42" s="11"/>
      <c r="I42" s="11"/>
      <c r="J42" s="11"/>
      <c r="K42" s="12"/>
      <c r="L42" s="11"/>
      <c r="M42" s="53"/>
      <c r="N42" s="11"/>
      <c r="O42" s="7"/>
    </row>
    <row r="45" spans="1:15" x14ac:dyDescent="0.2">
      <c r="F45" s="54"/>
      <c r="G45" s="54"/>
      <c r="H45" s="54"/>
    </row>
    <row r="46" spans="1:15" x14ac:dyDescent="0.2">
      <c r="F46" s="54"/>
      <c r="G46" s="54"/>
      <c r="H46" s="54"/>
      <c r="J46" s="55"/>
      <c r="K46" s="55"/>
      <c r="M46" s="8">
        <f>24740-12300-1700</f>
        <v>10740</v>
      </c>
    </row>
    <row r="49" spans="10:13" x14ac:dyDescent="0.2">
      <c r="J49" s="56">
        <f>J28/I28*100</f>
        <v>75.719424460431654</v>
      </c>
    </row>
    <row r="51" spans="10:13" x14ac:dyDescent="0.2">
      <c r="J51" s="55"/>
    </row>
    <row r="54" spans="10:13" x14ac:dyDescent="0.2">
      <c r="M54" s="55"/>
    </row>
  </sheetData>
  <mergeCells count="1">
    <mergeCell ref="A3:M3"/>
  </mergeCells>
  <pageMargins left="0.25" right="0.25" top="0.75" bottom="0.75" header="0.3" footer="0.3"/>
  <pageSetup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EBE6-7A7D-4171-B121-7A31BAB41723}">
  <sheetPr>
    <pageSetUpPr fitToPage="1"/>
  </sheetPr>
  <dimension ref="A1:U55"/>
  <sheetViews>
    <sheetView zoomScale="81" zoomScaleNormal="80" workbookViewId="0">
      <selection activeCell="J16" sqref="J16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21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21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21" ht="15" x14ac:dyDescent="0.25">
      <c r="A3" s="67" t="s">
        <v>230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21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21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21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21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21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21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21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JUNE!M10</f>
        <v>0</v>
      </c>
      <c r="G10" s="21">
        <v>100</v>
      </c>
      <c r="H10" s="22">
        <v>750</v>
      </c>
      <c r="I10" s="21">
        <f>D10+E10+F10+G10+H10</f>
        <v>8350</v>
      </c>
      <c r="J10" s="59">
        <f>8350</f>
        <v>8350</v>
      </c>
      <c r="K10" s="58" t="s">
        <v>238</v>
      </c>
      <c r="L10" s="61" t="s">
        <v>229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21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JUNE!M11</f>
        <v>1650</v>
      </c>
      <c r="G11" s="21">
        <v>100</v>
      </c>
      <c r="H11" s="21">
        <v>500</v>
      </c>
      <c r="I11" s="21">
        <f t="shared" ref="I11:I27" si="0">D11+E11+F11+G11+H11</f>
        <v>9750</v>
      </c>
      <c r="J11" s="59">
        <f>8100</f>
        <v>8100</v>
      </c>
      <c r="K11" s="57" t="s">
        <v>239</v>
      </c>
      <c r="L11" s="61" t="s">
        <v>229</v>
      </c>
      <c r="M11" s="25">
        <f t="shared" ref="M11:M27" si="1">I11-J11</f>
        <v>1650</v>
      </c>
      <c r="N11" s="29"/>
      <c r="O11" s="22" t="s">
        <v>29</v>
      </c>
      <c r="Q11" s="8" t="s">
        <v>34</v>
      </c>
      <c r="R11" s="8">
        <v>50000</v>
      </c>
    </row>
    <row r="12" spans="1:21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JUNE!M12</f>
        <v>1500</v>
      </c>
      <c r="G12" s="21">
        <v>100</v>
      </c>
      <c r="H12" s="21">
        <v>0</v>
      </c>
      <c r="I12" s="21">
        <f t="shared" si="0"/>
        <v>9100</v>
      </c>
      <c r="J12" s="63">
        <f>9100</f>
        <v>9100</v>
      </c>
      <c r="K12" s="57" t="s">
        <v>231</v>
      </c>
      <c r="L12" s="61" t="s">
        <v>229</v>
      </c>
      <c r="M12" s="25">
        <f t="shared" si="1"/>
        <v>0</v>
      </c>
      <c r="N12" s="37"/>
      <c r="O12" s="22" t="s">
        <v>29</v>
      </c>
      <c r="Q12" s="8" t="s">
        <v>39</v>
      </c>
      <c r="R12" s="8">
        <v>140208</v>
      </c>
    </row>
    <row r="13" spans="1:21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JUNE!M13</f>
        <v>10200</v>
      </c>
      <c r="G13" s="21">
        <v>100</v>
      </c>
      <c r="H13" s="21">
        <v>0</v>
      </c>
      <c r="I13" s="21">
        <f t="shared" si="0"/>
        <v>17800</v>
      </c>
      <c r="J13" s="63">
        <f>10000</f>
        <v>10000</v>
      </c>
      <c r="K13" s="57" t="s">
        <v>245</v>
      </c>
      <c r="L13" s="61" t="s">
        <v>229</v>
      </c>
      <c r="M13" s="25">
        <f t="shared" si="1"/>
        <v>7800</v>
      </c>
      <c r="N13" s="29"/>
      <c r="O13" s="22" t="s">
        <v>29</v>
      </c>
      <c r="Q13" s="8" t="s">
        <v>43</v>
      </c>
      <c r="R13" s="8">
        <v>32850</v>
      </c>
      <c r="S13" s="8" t="s">
        <v>179</v>
      </c>
      <c r="U13" s="64"/>
    </row>
    <row r="14" spans="1:21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JUNE!M14</f>
        <v>700</v>
      </c>
      <c r="G14" s="21">
        <v>100</v>
      </c>
      <c r="H14" s="21">
        <v>250</v>
      </c>
      <c r="I14" s="21">
        <f t="shared" si="0"/>
        <v>8550</v>
      </c>
      <c r="J14" s="59">
        <f>7750</f>
        <v>7750</v>
      </c>
      <c r="K14" s="57" t="s">
        <v>243</v>
      </c>
      <c r="L14" s="61" t="s">
        <v>229</v>
      </c>
      <c r="M14" s="25">
        <f t="shared" si="1"/>
        <v>800</v>
      </c>
      <c r="N14" s="29"/>
      <c r="O14" s="22" t="s">
        <v>29</v>
      </c>
      <c r="Q14" s="8" t="s">
        <v>45</v>
      </c>
      <c r="R14" s="8">
        <v>32160</v>
      </c>
      <c r="S14" s="8" t="s">
        <v>179</v>
      </c>
    </row>
    <row r="15" spans="1:21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JUNE!M15</f>
        <v>1850</v>
      </c>
      <c r="G15" s="21">
        <v>100</v>
      </c>
      <c r="H15" s="21">
        <v>500</v>
      </c>
      <c r="I15" s="21">
        <f t="shared" si="0"/>
        <v>9950</v>
      </c>
      <c r="J15" s="59">
        <f>7000</f>
        <v>7000</v>
      </c>
      <c r="K15" s="57" t="s">
        <v>241</v>
      </c>
      <c r="L15" s="61" t="s">
        <v>229</v>
      </c>
      <c r="M15" s="25">
        <f t="shared" si="1"/>
        <v>2950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21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JUNE!M16</f>
        <v>10600</v>
      </c>
      <c r="G16" s="21">
        <v>100</v>
      </c>
      <c r="H16" s="21">
        <v>750</v>
      </c>
      <c r="I16" s="21">
        <f t="shared" si="0"/>
        <v>18950</v>
      </c>
      <c r="J16" s="59">
        <f>5500+3700</f>
        <v>9200</v>
      </c>
      <c r="K16" s="57" t="s">
        <v>244</v>
      </c>
      <c r="L16" s="61" t="s">
        <v>229</v>
      </c>
      <c r="M16" s="25">
        <f t="shared" si="1"/>
        <v>9750</v>
      </c>
      <c r="N16" s="29"/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JUNE!M17</f>
        <v>0</v>
      </c>
      <c r="G17" s="21">
        <v>100</v>
      </c>
      <c r="H17" s="21">
        <v>250</v>
      </c>
      <c r="I17" s="21">
        <f t="shared" si="0"/>
        <v>7850</v>
      </c>
      <c r="J17" s="59">
        <f>7500+500</f>
        <v>8000</v>
      </c>
      <c r="K17" s="58" t="s">
        <v>240</v>
      </c>
      <c r="L17" s="61" t="s">
        <v>229</v>
      </c>
      <c r="M17" s="25">
        <f t="shared" si="1"/>
        <v>-150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111</v>
      </c>
      <c r="C18" s="20"/>
      <c r="D18" s="21"/>
      <c r="E18" s="21"/>
      <c r="F18" s="21">
        <f>JUNE!M18</f>
        <v>0</v>
      </c>
      <c r="G18" s="21"/>
      <c r="H18" s="21">
        <v>0</v>
      </c>
      <c r="I18" s="21">
        <f t="shared" si="0"/>
        <v>0</v>
      </c>
      <c r="J18" s="59"/>
      <c r="K18" s="62"/>
      <c r="L18" s="61" t="s">
        <v>229</v>
      </c>
      <c r="M18" s="25">
        <f t="shared" si="1"/>
        <v>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f>JUNE!M19</f>
        <v>4200</v>
      </c>
      <c r="G19" s="21">
        <v>100</v>
      </c>
      <c r="H19" s="21">
        <v>1750</v>
      </c>
      <c r="I19" s="21">
        <f t="shared" si="0"/>
        <v>13550</v>
      </c>
      <c r="J19" s="59">
        <f>7600</f>
        <v>7600</v>
      </c>
      <c r="K19" s="57" t="s">
        <v>235</v>
      </c>
      <c r="L19" s="61" t="s">
        <v>229</v>
      </c>
      <c r="M19" s="25">
        <f t="shared" si="1"/>
        <v>5950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JUNE!M20</f>
        <v>0</v>
      </c>
      <c r="G20" s="21">
        <v>100</v>
      </c>
      <c r="H20" s="21">
        <v>250</v>
      </c>
      <c r="I20" s="21">
        <f t="shared" si="0"/>
        <v>7850</v>
      </c>
      <c r="J20" s="59">
        <f>7850</f>
        <v>7850</v>
      </c>
      <c r="K20" s="57" t="s">
        <v>233</v>
      </c>
      <c r="L20" s="61" t="s">
        <v>229</v>
      </c>
      <c r="M20" s="25">
        <f t="shared" si="1"/>
        <v>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70</v>
      </c>
      <c r="C21" s="20" t="s">
        <v>71</v>
      </c>
      <c r="D21" s="21">
        <v>0</v>
      </c>
      <c r="E21" s="21">
        <v>7500</v>
      </c>
      <c r="F21" s="21">
        <f>JUNE!M21</f>
        <v>1750</v>
      </c>
      <c r="G21" s="21">
        <v>100</v>
      </c>
      <c r="H21" s="21">
        <v>250</v>
      </c>
      <c r="I21" s="21">
        <f t="shared" si="0"/>
        <v>9600</v>
      </c>
      <c r="J21" s="59">
        <f>7850</f>
        <v>7850</v>
      </c>
      <c r="K21" s="57" t="s">
        <v>236</v>
      </c>
      <c r="L21" s="61" t="s">
        <v>229</v>
      </c>
      <c r="M21" s="25">
        <f t="shared" si="1"/>
        <v>1750</v>
      </c>
      <c r="N21" s="29"/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74</v>
      </c>
      <c r="C22" s="20" t="s">
        <v>75</v>
      </c>
      <c r="D22" s="21">
        <v>0</v>
      </c>
      <c r="E22" s="21">
        <v>7000</v>
      </c>
      <c r="F22" s="21">
        <f>JUNE!M22</f>
        <v>3700.0000000000018</v>
      </c>
      <c r="G22" s="21">
        <v>100</v>
      </c>
      <c r="H22" s="21">
        <v>250</v>
      </c>
      <c r="I22" s="21">
        <f t="shared" si="0"/>
        <v>11050.000000000002</v>
      </c>
      <c r="J22" s="59">
        <f>7100</f>
        <v>7100</v>
      </c>
      <c r="K22" s="57" t="s">
        <v>234</v>
      </c>
      <c r="L22" s="61" t="s">
        <v>229</v>
      </c>
      <c r="M22" s="25">
        <f t="shared" si="1"/>
        <v>3950.0000000000018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JUNE!M23</f>
        <v>-7150</v>
      </c>
      <c r="G23" s="21">
        <v>100</v>
      </c>
      <c r="H23" s="21"/>
      <c r="I23" s="21">
        <f t="shared" si="0"/>
        <v>-50</v>
      </c>
      <c r="J23" s="59"/>
      <c r="K23" s="62"/>
      <c r="L23" s="61" t="s">
        <v>229</v>
      </c>
      <c r="M23" s="25">
        <f t="shared" si="1"/>
        <v>-50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JUNE!M24</f>
        <v>1000</v>
      </c>
      <c r="G24" s="21">
        <v>100</v>
      </c>
      <c r="H24" s="21">
        <v>250</v>
      </c>
      <c r="I24" s="21">
        <f t="shared" si="0"/>
        <v>8350</v>
      </c>
      <c r="J24" s="59">
        <f>7500</f>
        <v>7500</v>
      </c>
      <c r="K24" s="58" t="s">
        <v>242</v>
      </c>
      <c r="L24" s="61" t="s">
        <v>229</v>
      </c>
      <c r="M24" s="25">
        <f t="shared" si="1"/>
        <v>850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JUNE!M25</f>
        <v>1250</v>
      </c>
      <c r="G25" s="21">
        <v>100</v>
      </c>
      <c r="H25" s="21">
        <v>1000</v>
      </c>
      <c r="I25" s="21">
        <f t="shared" si="0"/>
        <v>9350</v>
      </c>
      <c r="J25" s="59">
        <f>8250</f>
        <v>8250</v>
      </c>
      <c r="K25" s="58" t="s">
        <v>232</v>
      </c>
      <c r="L25" s="61" t="s">
        <v>229</v>
      </c>
      <c r="M25" s="25">
        <f t="shared" si="1"/>
        <v>1100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89</v>
      </c>
      <c r="C26" s="20" t="s">
        <v>90</v>
      </c>
      <c r="D26" s="21">
        <v>0</v>
      </c>
      <c r="E26" s="21">
        <v>7000</v>
      </c>
      <c r="F26" s="21">
        <f>JUNE!M26</f>
        <v>2500</v>
      </c>
      <c r="G26" s="21">
        <v>100</v>
      </c>
      <c r="H26" s="21">
        <v>0</v>
      </c>
      <c r="I26" s="21">
        <f t="shared" si="0"/>
        <v>9600</v>
      </c>
      <c r="J26" s="59">
        <f>7500</f>
        <v>7500</v>
      </c>
      <c r="K26" s="57" t="s">
        <v>237</v>
      </c>
      <c r="L26" s="61" t="s">
        <v>229</v>
      </c>
      <c r="M26" s="25">
        <f t="shared" si="1"/>
        <v>2100</v>
      </c>
      <c r="N26" s="29"/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JUNE!M27</f>
        <v>0</v>
      </c>
      <c r="G27" s="21"/>
      <c r="H27" s="21"/>
      <c r="I27" s="21">
        <f t="shared" si="0"/>
        <v>0</v>
      </c>
      <c r="J27" s="59"/>
      <c r="K27" s="62"/>
      <c r="L27" s="61" t="s">
        <v>229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117500</v>
      </c>
      <c r="F28" s="34">
        <f>SUM(F10:F27)</f>
        <v>33750</v>
      </c>
      <c r="G28" s="34">
        <f>SUM(G10:G27)</f>
        <v>1600</v>
      </c>
      <c r="H28" s="35">
        <f>SUM(H10:H27)</f>
        <v>6750</v>
      </c>
      <c r="I28" s="34">
        <f>SUM(I10:I27)</f>
        <v>159600</v>
      </c>
      <c r="J28" s="34">
        <f>SUM(J10:J27)</f>
        <v>121150</v>
      </c>
      <c r="K28" s="36"/>
      <c r="L28" s="24"/>
      <c r="M28" s="37">
        <f>SUM(M10:M27)</f>
        <v>38450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9" t="s">
        <v>94</v>
      </c>
      <c r="B30" s="10"/>
      <c r="C30" s="10"/>
      <c r="D30" s="14"/>
      <c r="E30" s="14"/>
      <c r="F30" s="14"/>
      <c r="G30" s="14"/>
      <c r="H30" s="14"/>
      <c r="I30" s="14"/>
      <c r="J30" s="38">
        <f>8%*(J28-H28-G28-D28)</f>
        <v>9024</v>
      </c>
      <c r="K30" s="12"/>
      <c r="L30" s="14" t="s">
        <v>6</v>
      </c>
      <c r="M30" s="25"/>
      <c r="N30" s="11"/>
      <c r="O30" s="7"/>
    </row>
    <row r="31" spans="1:19" ht="15" x14ac:dyDescent="0.25">
      <c r="A31" s="9" t="s">
        <v>95</v>
      </c>
      <c r="B31" s="10"/>
      <c r="C31" s="10"/>
      <c r="D31" s="14"/>
      <c r="E31" s="14"/>
      <c r="F31" s="14"/>
      <c r="G31" s="14"/>
      <c r="H31" s="14"/>
      <c r="I31" s="14"/>
      <c r="J31" s="38">
        <f>1000+1000</f>
        <v>2000</v>
      </c>
      <c r="K31" s="12"/>
      <c r="L31" s="14"/>
      <c r="M31" s="25"/>
      <c r="N31" s="11"/>
      <c r="O31" s="7"/>
    </row>
    <row r="32" spans="1:19" ht="15" x14ac:dyDescent="0.25">
      <c r="A32" s="9" t="s">
        <v>246</v>
      </c>
      <c r="B32" s="10"/>
      <c r="C32" s="10"/>
      <c r="D32" s="14"/>
      <c r="E32" s="14"/>
      <c r="F32" s="14"/>
      <c r="G32" s="14"/>
      <c r="H32" s="14"/>
      <c r="I32" s="14"/>
      <c r="J32" s="38">
        <v>1500</v>
      </c>
      <c r="K32" s="12"/>
      <c r="L32" s="14"/>
      <c r="M32" s="25"/>
      <c r="N32" s="11"/>
      <c r="O32" s="7"/>
    </row>
    <row r="33" spans="1:15" ht="15" x14ac:dyDescent="0.25">
      <c r="A33" s="9" t="s">
        <v>149</v>
      </c>
      <c r="B33" s="10"/>
      <c r="C33" s="10"/>
      <c r="D33" s="14"/>
      <c r="E33" s="14"/>
      <c r="F33" s="14"/>
      <c r="G33" s="14" t="s">
        <v>96</v>
      </c>
      <c r="H33" s="14"/>
      <c r="I33" s="14"/>
      <c r="J33" s="38">
        <f>1700</f>
        <v>1700</v>
      </c>
      <c r="K33" s="12"/>
      <c r="L33" s="14"/>
      <c r="M33" s="25"/>
      <c r="N33" s="11"/>
      <c r="O33" s="7"/>
    </row>
    <row r="34" spans="1:15" ht="15" x14ac:dyDescent="0.25">
      <c r="A34" s="9" t="s">
        <v>97</v>
      </c>
      <c r="B34" s="10"/>
      <c r="C34" s="10"/>
      <c r="D34" s="14"/>
      <c r="E34" s="14"/>
      <c r="F34" s="14"/>
      <c r="G34" s="14"/>
      <c r="H34" s="14"/>
      <c r="I34" s="14"/>
      <c r="J34" s="38">
        <v>5402</v>
      </c>
      <c r="K34" s="12"/>
      <c r="L34" s="14"/>
      <c r="M34" s="25"/>
      <c r="N34" s="11"/>
      <c r="O34" s="7"/>
    </row>
    <row r="35" spans="1:15" ht="15" x14ac:dyDescent="0.25">
      <c r="A35" s="9" t="s">
        <v>122</v>
      </c>
      <c r="B35" s="10"/>
      <c r="C35" s="10"/>
      <c r="D35" s="14"/>
      <c r="E35" s="14"/>
      <c r="F35" s="14"/>
      <c r="G35" s="14"/>
      <c r="H35" s="14"/>
      <c r="I35" s="14"/>
      <c r="J35" s="38"/>
      <c r="K35" s="12"/>
      <c r="L35" s="14"/>
      <c r="M35" s="25"/>
      <c r="N35" s="11"/>
      <c r="O35" s="7"/>
    </row>
    <row r="36" spans="1:15" ht="15" x14ac:dyDescent="0.25">
      <c r="A36" s="13" t="s">
        <v>98</v>
      </c>
      <c r="B36" s="10"/>
      <c r="C36" s="10"/>
      <c r="D36" s="14"/>
      <c r="E36" s="14"/>
      <c r="F36" s="14"/>
      <c r="G36" s="14"/>
      <c r="H36" s="14"/>
      <c r="I36" s="14"/>
      <c r="J36" s="39">
        <f>SUM(J30:J35)</f>
        <v>19626</v>
      </c>
      <c r="K36" s="12"/>
      <c r="L36" s="14"/>
      <c r="M36" s="25"/>
      <c r="N36" s="11"/>
      <c r="O36" s="7"/>
    </row>
    <row r="37" spans="1:15" ht="15" x14ac:dyDescent="0.25">
      <c r="A37" s="13"/>
      <c r="B37" s="10"/>
      <c r="C37" s="10"/>
      <c r="D37" s="14"/>
      <c r="E37" s="14"/>
      <c r="F37" s="14"/>
      <c r="G37" s="14"/>
      <c r="H37" s="14"/>
      <c r="I37" s="14"/>
      <c r="J37" s="39"/>
      <c r="K37" s="12">
        <v>0</v>
      </c>
      <c r="L37" s="14"/>
      <c r="M37" s="25"/>
      <c r="N37" s="11"/>
      <c r="O37" s="7"/>
    </row>
    <row r="38" spans="1:15" ht="15" x14ac:dyDescent="0.25">
      <c r="A38" s="13" t="s">
        <v>99</v>
      </c>
      <c r="B38" s="10"/>
      <c r="C38" s="10"/>
      <c r="D38" s="14"/>
      <c r="E38" s="14" t="s">
        <v>96</v>
      </c>
      <c r="F38" s="14"/>
      <c r="G38" s="14"/>
      <c r="H38" s="14"/>
      <c r="I38" s="14"/>
      <c r="J38" s="39">
        <f>JUNE!M39</f>
        <v>-2180</v>
      </c>
      <c r="K38" s="12"/>
      <c r="L38" s="14"/>
      <c r="M38" s="25"/>
      <c r="N38" s="11"/>
      <c r="O38" s="7"/>
    </row>
    <row r="39" spans="1:15" ht="15" x14ac:dyDescent="0.25">
      <c r="A39" s="9"/>
      <c r="B39" s="10"/>
      <c r="C39" s="10"/>
      <c r="D39" s="14"/>
      <c r="E39" s="14"/>
      <c r="F39" s="14"/>
      <c r="G39" s="14"/>
      <c r="H39" s="14"/>
      <c r="I39" s="14"/>
      <c r="J39" s="14"/>
      <c r="K39" s="40" t="s">
        <v>100</v>
      </c>
      <c r="L39" s="41" t="s">
        <v>100</v>
      </c>
      <c r="M39" s="42" t="s">
        <v>101</v>
      </c>
      <c r="O39" s="7"/>
    </row>
    <row r="40" spans="1:15" ht="15" x14ac:dyDescent="0.25">
      <c r="A40" s="43" t="s">
        <v>102</v>
      </c>
      <c r="B40" s="33"/>
      <c r="C40" s="33"/>
      <c r="D40" s="34"/>
      <c r="E40" s="34"/>
      <c r="F40" s="34"/>
      <c r="G40" s="34"/>
      <c r="H40" s="34"/>
      <c r="I40" s="34"/>
      <c r="J40" s="34">
        <f>J28-J36+J38</f>
        <v>99344</v>
      </c>
      <c r="K40" s="44">
        <v>80000</v>
      </c>
      <c r="L40" s="45">
        <v>16000</v>
      </c>
      <c r="M40" s="46">
        <f>J40-K40-L40</f>
        <v>3344</v>
      </c>
      <c r="O40" s="7"/>
    </row>
    <row r="41" spans="1:15" ht="15" x14ac:dyDescent="0.25">
      <c r="A41" s="47"/>
      <c r="B41" s="48"/>
      <c r="C41" s="48"/>
      <c r="D41" s="49"/>
      <c r="E41" s="49"/>
      <c r="F41" s="49"/>
      <c r="G41" s="49"/>
      <c r="H41" s="49"/>
      <c r="I41" s="49"/>
      <c r="J41" s="49"/>
      <c r="K41" s="50"/>
      <c r="L41" s="49"/>
      <c r="M41" s="49" t="s">
        <v>96</v>
      </c>
      <c r="N41" s="11"/>
      <c r="O41" s="7"/>
    </row>
    <row r="42" spans="1:15" ht="15" x14ac:dyDescent="0.25">
      <c r="A42" s="12" t="s">
        <v>103</v>
      </c>
      <c r="B42" s="10"/>
      <c r="C42" s="10"/>
      <c r="D42" s="11"/>
      <c r="E42" s="11"/>
      <c r="F42" s="11"/>
      <c r="G42" s="11"/>
      <c r="H42" s="11"/>
      <c r="I42" s="11"/>
      <c r="J42" s="11"/>
      <c r="K42" s="51"/>
      <c r="L42" s="11"/>
      <c r="M42" s="52">
        <v>46234</v>
      </c>
      <c r="N42" s="11"/>
      <c r="O42" s="7"/>
    </row>
    <row r="43" spans="1:15" ht="15" x14ac:dyDescent="0.25">
      <c r="A43" s="9"/>
      <c r="B43" s="10"/>
      <c r="C43" s="10"/>
      <c r="D43" s="11"/>
      <c r="E43" s="11"/>
      <c r="F43" s="11"/>
      <c r="G43" s="11"/>
      <c r="H43" s="11"/>
      <c r="I43" s="11"/>
      <c r="J43" s="11"/>
      <c r="K43" s="12"/>
      <c r="L43" s="11"/>
      <c r="M43" s="53"/>
      <c r="N43" s="11"/>
      <c r="O43" s="7"/>
    </row>
    <row r="46" spans="1:15" x14ac:dyDescent="0.2">
      <c r="F46" s="54"/>
      <c r="G46" s="54"/>
      <c r="H46" s="54"/>
    </row>
    <row r="47" spans="1:15" x14ac:dyDescent="0.2">
      <c r="F47" s="54"/>
      <c r="G47" s="54"/>
      <c r="H47" s="54"/>
      <c r="J47" s="55"/>
      <c r="K47" s="55"/>
      <c r="M47" s="8">
        <f>24740-12300-1700</f>
        <v>10740</v>
      </c>
    </row>
    <row r="50" spans="10:13" x14ac:dyDescent="0.2">
      <c r="J50" s="56">
        <f>J28/I28*100</f>
        <v>75.908521303258141</v>
      </c>
    </row>
    <row r="52" spans="10:13" x14ac:dyDescent="0.2">
      <c r="J52" s="55"/>
    </row>
    <row r="55" spans="10:13" x14ac:dyDescent="0.2">
      <c r="M55" s="55"/>
    </row>
  </sheetData>
  <mergeCells count="1">
    <mergeCell ref="A3:M3"/>
  </mergeCells>
  <pageMargins left="0.25" right="0.25" top="0.75" bottom="0.75" header="0.3" footer="0.3"/>
  <pageSetup scale="6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DEA9-5D4D-4F17-8502-156B9E90412C}">
  <sheetPr>
    <pageSetUpPr fitToPage="1"/>
  </sheetPr>
  <dimension ref="A1:S58"/>
  <sheetViews>
    <sheetView topLeftCell="A4" zoomScale="81" zoomScaleNormal="80" workbookViewId="0">
      <selection activeCell="A34" sqref="A34:XFD34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11.8554687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0.14062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16.57031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9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9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9" ht="15" x14ac:dyDescent="0.25">
      <c r="A3" s="67" t="s">
        <v>248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9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9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9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9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9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9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9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JULY!M10</f>
        <v>0</v>
      </c>
      <c r="G10" s="21">
        <v>100</v>
      </c>
      <c r="H10" s="22">
        <v>250</v>
      </c>
      <c r="I10" s="21">
        <f>D10+E10+F10+G10+H10</f>
        <v>7850</v>
      </c>
      <c r="J10" s="65">
        <f>7850</f>
        <v>7850</v>
      </c>
      <c r="K10" s="58" t="s">
        <v>250</v>
      </c>
      <c r="L10" s="61" t="s">
        <v>247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19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JULY!M11</f>
        <v>1650</v>
      </c>
      <c r="G11" s="21">
        <v>100</v>
      </c>
      <c r="H11" s="21">
        <v>500</v>
      </c>
      <c r="I11" s="21">
        <f t="shared" ref="I11:I27" si="0">D11+E11+F11+G11+H11</f>
        <v>9750</v>
      </c>
      <c r="J11" s="65">
        <f>8100</f>
        <v>8100</v>
      </c>
      <c r="K11" s="57" t="s">
        <v>254</v>
      </c>
      <c r="L11" s="61" t="s">
        <v>247</v>
      </c>
      <c r="M11" s="25">
        <f t="shared" ref="M11:M27" si="1">I11-J11</f>
        <v>1650</v>
      </c>
      <c r="N11" s="29"/>
      <c r="O11" s="22" t="s">
        <v>29</v>
      </c>
      <c r="Q11" s="8" t="s">
        <v>34</v>
      </c>
      <c r="R11" s="8">
        <v>50000</v>
      </c>
    </row>
    <row r="12" spans="1:19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JULY!M12</f>
        <v>0</v>
      </c>
      <c r="G12" s="21">
        <v>100</v>
      </c>
      <c r="H12" s="21">
        <v>0</v>
      </c>
      <c r="I12" s="21">
        <f t="shared" si="0"/>
        <v>7600</v>
      </c>
      <c r="J12" s="66">
        <f>7600</f>
        <v>7600</v>
      </c>
      <c r="K12" s="57" t="s">
        <v>256</v>
      </c>
      <c r="L12" s="61" t="s">
        <v>247</v>
      </c>
      <c r="M12" s="25">
        <f t="shared" si="1"/>
        <v>0</v>
      </c>
      <c r="N12" s="37"/>
      <c r="O12" s="22" t="s">
        <v>29</v>
      </c>
      <c r="Q12" s="8" t="s">
        <v>39</v>
      </c>
      <c r="R12" s="8">
        <v>140208</v>
      </c>
    </row>
    <row r="13" spans="1:19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JULY!M13</f>
        <v>7800</v>
      </c>
      <c r="G13" s="21">
        <v>100</v>
      </c>
      <c r="H13" s="21">
        <v>0</v>
      </c>
      <c r="I13" s="21">
        <f t="shared" si="0"/>
        <v>15400</v>
      </c>
      <c r="J13" s="66">
        <f>9000</f>
        <v>9000</v>
      </c>
      <c r="K13" s="57" t="s">
        <v>257</v>
      </c>
      <c r="L13" s="61" t="s">
        <v>247</v>
      </c>
      <c r="M13" s="25">
        <f t="shared" si="1"/>
        <v>6400</v>
      </c>
      <c r="N13" s="29"/>
      <c r="O13" s="22" t="s">
        <v>29</v>
      </c>
      <c r="Q13" s="8" t="s">
        <v>43</v>
      </c>
      <c r="R13" s="8">
        <v>32850</v>
      </c>
      <c r="S13" s="8" t="s">
        <v>179</v>
      </c>
    </row>
    <row r="14" spans="1:19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JULY!M14</f>
        <v>800</v>
      </c>
      <c r="G14" s="21">
        <v>100</v>
      </c>
      <c r="H14" s="21">
        <v>250</v>
      </c>
      <c r="I14" s="21">
        <f t="shared" si="0"/>
        <v>8650</v>
      </c>
      <c r="J14" s="65">
        <f>8650</f>
        <v>8650</v>
      </c>
      <c r="K14" s="57" t="s">
        <v>258</v>
      </c>
      <c r="L14" s="61" t="s">
        <v>247</v>
      </c>
      <c r="M14" s="25">
        <f t="shared" si="1"/>
        <v>0</v>
      </c>
      <c r="N14" s="29"/>
      <c r="O14" s="22" t="s">
        <v>29</v>
      </c>
      <c r="Q14" s="8" t="s">
        <v>45</v>
      </c>
      <c r="R14" s="8">
        <v>32160</v>
      </c>
      <c r="S14" s="8" t="s">
        <v>179</v>
      </c>
    </row>
    <row r="15" spans="1:19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JULY!M15</f>
        <v>2950</v>
      </c>
      <c r="G15" s="21">
        <v>100</v>
      </c>
      <c r="H15" s="21">
        <v>500</v>
      </c>
      <c r="I15" s="21">
        <f t="shared" si="0"/>
        <v>11050</v>
      </c>
      <c r="J15" s="65">
        <f>8000</f>
        <v>8000</v>
      </c>
      <c r="K15" s="57" t="s">
        <v>255</v>
      </c>
      <c r="L15" s="61" t="s">
        <v>247</v>
      </c>
      <c r="M15" s="25">
        <f t="shared" si="1"/>
        <v>3050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19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JULY!M16</f>
        <v>9750</v>
      </c>
      <c r="G16" s="21">
        <v>100</v>
      </c>
      <c r="H16" s="21">
        <v>0</v>
      </c>
      <c r="I16" s="21">
        <f t="shared" si="0"/>
        <v>17350</v>
      </c>
      <c r="J16" s="65">
        <f>5000+7000</f>
        <v>12000</v>
      </c>
      <c r="K16" s="57" t="s">
        <v>259</v>
      </c>
      <c r="L16" s="61" t="s">
        <v>247</v>
      </c>
      <c r="M16" s="25">
        <f t="shared" si="1"/>
        <v>5350</v>
      </c>
      <c r="N16" s="29"/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JULY!M17</f>
        <v>-150</v>
      </c>
      <c r="G17" s="21">
        <v>100</v>
      </c>
      <c r="H17" s="21">
        <v>0</v>
      </c>
      <c r="I17" s="21">
        <f t="shared" si="0"/>
        <v>7450</v>
      </c>
      <c r="J17" s="65">
        <f>7500+500</f>
        <v>8000</v>
      </c>
      <c r="K17" s="58" t="s">
        <v>251</v>
      </c>
      <c r="L17" s="61" t="s">
        <v>247</v>
      </c>
      <c r="M17" s="25">
        <f t="shared" si="1"/>
        <v>-550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279</v>
      </c>
      <c r="C18" s="20"/>
      <c r="D18" s="21">
        <v>10000</v>
      </c>
      <c r="E18" s="21">
        <v>5000</v>
      </c>
      <c r="F18" s="21">
        <f>JULY!M18</f>
        <v>0</v>
      </c>
      <c r="G18" s="21">
        <v>100</v>
      </c>
      <c r="H18" s="21">
        <v>0</v>
      </c>
      <c r="I18" s="21">
        <f t="shared" si="0"/>
        <v>15100</v>
      </c>
      <c r="J18" s="59"/>
      <c r="K18" s="62"/>
      <c r="L18" s="61" t="s">
        <v>247</v>
      </c>
      <c r="M18" s="25">
        <f t="shared" si="1"/>
        <v>15100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f>JULY!M19</f>
        <v>5950</v>
      </c>
      <c r="G19" s="21">
        <v>100</v>
      </c>
      <c r="H19" s="21">
        <v>1250</v>
      </c>
      <c r="I19" s="21">
        <f t="shared" si="0"/>
        <v>14800</v>
      </c>
      <c r="J19" s="65">
        <f>9000</f>
        <v>9000</v>
      </c>
      <c r="K19" s="57" t="s">
        <v>249</v>
      </c>
      <c r="L19" s="61" t="s">
        <v>247</v>
      </c>
      <c r="M19" s="25">
        <f t="shared" si="1"/>
        <v>5800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JULY!M20</f>
        <v>0</v>
      </c>
      <c r="G20" s="21">
        <v>100</v>
      </c>
      <c r="H20" s="21">
        <v>0</v>
      </c>
      <c r="I20" s="21">
        <f t="shared" si="0"/>
        <v>7600</v>
      </c>
      <c r="J20" s="65">
        <f>7750</f>
        <v>7750</v>
      </c>
      <c r="K20" s="57" t="s">
        <v>260</v>
      </c>
      <c r="L20" s="61" t="s">
        <v>247</v>
      </c>
      <c r="M20" s="25">
        <f t="shared" si="1"/>
        <v>-150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111</v>
      </c>
      <c r="C21" s="20"/>
      <c r="D21" s="21"/>
      <c r="E21" s="21"/>
      <c r="F21" s="21"/>
      <c r="G21" s="21"/>
      <c r="H21" s="21"/>
      <c r="I21" s="21">
        <f t="shared" si="0"/>
        <v>0</v>
      </c>
      <c r="J21" s="59"/>
      <c r="K21" s="62"/>
      <c r="L21" s="61" t="s">
        <v>247</v>
      </c>
      <c r="M21" s="25">
        <f t="shared" si="1"/>
        <v>0</v>
      </c>
      <c r="N21" s="29"/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111</v>
      </c>
      <c r="C22" s="20"/>
      <c r="D22" s="21"/>
      <c r="E22" s="21"/>
      <c r="F22" s="21"/>
      <c r="G22" s="21"/>
      <c r="H22" s="21">
        <v>0</v>
      </c>
      <c r="I22" s="21">
        <f t="shared" si="0"/>
        <v>0</v>
      </c>
      <c r="J22" s="59"/>
      <c r="K22" s="62"/>
      <c r="L22" s="61" t="s">
        <v>247</v>
      </c>
      <c r="M22" s="25">
        <f t="shared" si="1"/>
        <v>0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JULY!M23</f>
        <v>-50</v>
      </c>
      <c r="G23" s="21">
        <v>100</v>
      </c>
      <c r="H23" s="21">
        <v>250</v>
      </c>
      <c r="I23" s="21">
        <f t="shared" si="0"/>
        <v>7300</v>
      </c>
      <c r="J23" s="65">
        <f>7350</f>
        <v>7350</v>
      </c>
      <c r="K23" s="57" t="s">
        <v>253</v>
      </c>
      <c r="L23" s="61" t="s">
        <v>247</v>
      </c>
      <c r="M23" s="25">
        <f t="shared" si="1"/>
        <v>-50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83</v>
      </c>
      <c r="D24" s="21"/>
      <c r="E24" s="21">
        <v>7000</v>
      </c>
      <c r="F24" s="21">
        <f>JULY!M24</f>
        <v>850</v>
      </c>
      <c r="G24" s="21">
        <v>100</v>
      </c>
      <c r="H24" s="21">
        <v>250</v>
      </c>
      <c r="I24" s="21">
        <f t="shared" si="0"/>
        <v>8200</v>
      </c>
      <c r="J24" s="65">
        <f>6000</f>
        <v>6000</v>
      </c>
      <c r="K24" s="58" t="s">
        <v>261</v>
      </c>
      <c r="L24" s="61" t="s">
        <v>247</v>
      </c>
      <c r="M24" s="25">
        <f t="shared" si="1"/>
        <v>2200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JULY!M25</f>
        <v>1100</v>
      </c>
      <c r="G25" s="21">
        <v>100</v>
      </c>
      <c r="H25" s="21">
        <v>500</v>
      </c>
      <c r="I25" s="21">
        <f t="shared" si="0"/>
        <v>8700</v>
      </c>
      <c r="J25" s="65">
        <f>5500</f>
        <v>5500</v>
      </c>
      <c r="K25" s="58" t="s">
        <v>252</v>
      </c>
      <c r="L25" s="61" t="s">
        <v>247</v>
      </c>
      <c r="M25" s="25">
        <f t="shared" si="1"/>
        <v>3200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111</v>
      </c>
      <c r="C26" s="20"/>
      <c r="D26" s="21"/>
      <c r="E26" s="21"/>
      <c r="F26" s="21"/>
      <c r="G26" s="21"/>
      <c r="H26" s="21">
        <v>0</v>
      </c>
      <c r="I26" s="21">
        <f t="shared" si="0"/>
        <v>0</v>
      </c>
      <c r="J26" s="59"/>
      <c r="K26" s="62"/>
      <c r="L26" s="61" t="s">
        <v>247</v>
      </c>
      <c r="M26" s="25">
        <f t="shared" si="1"/>
        <v>0</v>
      </c>
      <c r="N26" s="29"/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JULY!M27</f>
        <v>0</v>
      </c>
      <c r="G27" s="21"/>
      <c r="H27" s="21"/>
      <c r="I27" s="21">
        <f t="shared" si="0"/>
        <v>0</v>
      </c>
      <c r="J27" s="59"/>
      <c r="K27" s="62"/>
      <c r="L27" s="61" t="s">
        <v>247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10000</v>
      </c>
      <c r="E28" s="34">
        <f t="shared" si="2"/>
        <v>101000</v>
      </c>
      <c r="F28" s="34">
        <f>SUM(F10:F27)</f>
        <v>30650</v>
      </c>
      <c r="G28" s="34">
        <f>SUM(G10:G27)</f>
        <v>1400</v>
      </c>
      <c r="H28" s="35">
        <f>SUM(H10:H27)</f>
        <v>3750</v>
      </c>
      <c r="I28" s="34">
        <f>SUM(I10:I27)</f>
        <v>146800</v>
      </c>
      <c r="J28" s="34">
        <f>SUM(J10:J27)</f>
        <v>104800</v>
      </c>
      <c r="K28" s="36"/>
      <c r="L28" s="24"/>
      <c r="M28" s="37">
        <f>SUM(M10:M27)</f>
        <v>42000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13" t="s">
        <v>94</v>
      </c>
      <c r="B30" s="3"/>
      <c r="C30" s="10"/>
      <c r="D30" s="14"/>
      <c r="E30" s="14"/>
      <c r="F30" s="14"/>
      <c r="G30" s="14"/>
      <c r="H30" s="14"/>
      <c r="I30" s="14"/>
      <c r="J30" s="38">
        <f>8%*(J28-H28-G28-D28)</f>
        <v>7172</v>
      </c>
      <c r="K30" s="12"/>
      <c r="L30" s="14" t="s">
        <v>6</v>
      </c>
      <c r="M30" s="25"/>
      <c r="N30" s="11"/>
      <c r="O30" s="7"/>
    </row>
    <row r="31" spans="1:19" ht="15" x14ac:dyDescent="0.25">
      <c r="A31" s="13" t="s">
        <v>95</v>
      </c>
      <c r="B31" s="3"/>
      <c r="C31" s="10"/>
      <c r="D31" s="14"/>
      <c r="E31" s="14"/>
      <c r="F31" s="14"/>
      <c r="G31" s="14"/>
      <c r="H31" s="14"/>
      <c r="I31" s="14"/>
      <c r="J31" s="38">
        <f>1000+1000+1000</f>
        <v>3000</v>
      </c>
      <c r="K31" s="12"/>
      <c r="L31" s="14"/>
      <c r="M31" s="25"/>
      <c r="N31" s="11"/>
      <c r="O31" s="7"/>
    </row>
    <row r="32" spans="1:19" ht="15" x14ac:dyDescent="0.25">
      <c r="A32" s="13" t="s">
        <v>149</v>
      </c>
      <c r="B32" s="3"/>
      <c r="C32" s="10"/>
      <c r="D32" s="14"/>
      <c r="E32" s="14"/>
      <c r="F32" s="14"/>
      <c r="G32" s="14" t="s">
        <v>96</v>
      </c>
      <c r="H32" s="14"/>
      <c r="I32" s="14"/>
      <c r="J32" s="38">
        <v>1300</v>
      </c>
      <c r="K32" s="12"/>
      <c r="L32" s="14"/>
      <c r="M32" s="25"/>
      <c r="N32" s="11"/>
      <c r="O32" s="7"/>
    </row>
    <row r="33" spans="1:15" ht="15" x14ac:dyDescent="0.25">
      <c r="A33" s="13" t="s">
        <v>263</v>
      </c>
      <c r="B33" s="3"/>
      <c r="C33" s="10"/>
      <c r="D33" s="14"/>
      <c r="E33" s="14"/>
      <c r="F33" s="14"/>
      <c r="G33" s="14"/>
      <c r="H33" s="14"/>
      <c r="I33" s="14"/>
      <c r="J33" s="38">
        <v>10000</v>
      </c>
      <c r="K33" s="12"/>
      <c r="L33" s="14"/>
      <c r="M33" s="25"/>
      <c r="N33" s="11"/>
      <c r="O33" s="7"/>
    </row>
    <row r="34" spans="1:15" ht="15" x14ac:dyDescent="0.25">
      <c r="A34" s="13" t="s">
        <v>264</v>
      </c>
      <c r="B34" s="3"/>
      <c r="C34" s="10"/>
      <c r="D34" s="14"/>
      <c r="E34" s="14"/>
      <c r="F34" s="14"/>
      <c r="G34" s="14"/>
      <c r="H34" s="14"/>
      <c r="I34" s="14"/>
      <c r="J34" s="38">
        <v>5680</v>
      </c>
      <c r="K34" s="12"/>
      <c r="L34" s="14"/>
      <c r="M34" s="25"/>
      <c r="N34" s="11"/>
      <c r="O34" s="7"/>
    </row>
    <row r="35" spans="1:15" ht="15" x14ac:dyDescent="0.25">
      <c r="A35" s="13" t="s">
        <v>262</v>
      </c>
      <c r="B35" s="3"/>
      <c r="C35" s="10"/>
      <c r="D35" s="14"/>
      <c r="E35" s="14"/>
      <c r="F35" s="14"/>
      <c r="G35" s="14"/>
      <c r="H35" s="14"/>
      <c r="I35" s="14"/>
      <c r="J35" s="38">
        <v>1500</v>
      </c>
      <c r="K35" s="12"/>
      <c r="L35" s="14"/>
      <c r="M35" s="25"/>
      <c r="N35" s="11"/>
      <c r="O35" s="7"/>
    </row>
    <row r="36" spans="1:15" ht="15" x14ac:dyDescent="0.25">
      <c r="A36" s="13" t="s">
        <v>265</v>
      </c>
      <c r="B36" s="3"/>
      <c r="C36" s="10"/>
      <c r="D36" s="14"/>
      <c r="E36" s="14"/>
      <c r="F36" s="14"/>
      <c r="G36" s="14"/>
      <c r="H36" s="14"/>
      <c r="I36" s="14"/>
      <c r="J36" s="38">
        <v>700</v>
      </c>
      <c r="K36" s="12"/>
      <c r="L36" s="14"/>
      <c r="M36" s="25"/>
      <c r="N36" s="11"/>
      <c r="O36" s="7"/>
    </row>
    <row r="37" spans="1:15" ht="15" x14ac:dyDescent="0.25">
      <c r="A37" s="13" t="s">
        <v>97</v>
      </c>
      <c r="B37" s="3"/>
      <c r="C37" s="10"/>
      <c r="D37" s="14"/>
      <c r="E37" s="14"/>
      <c r="F37" s="14"/>
      <c r="G37" s="14"/>
      <c r="H37" s="14"/>
      <c r="I37" s="14"/>
      <c r="J37" s="38">
        <f>6902</f>
        <v>6902</v>
      </c>
      <c r="K37" s="12"/>
      <c r="L37" s="14"/>
      <c r="M37" s="25">
        <f>8%*M32</f>
        <v>0</v>
      </c>
      <c r="N37" s="11"/>
      <c r="O37" s="7"/>
    </row>
    <row r="38" spans="1:15" ht="15" x14ac:dyDescent="0.25">
      <c r="A38" s="13" t="s">
        <v>122</v>
      </c>
      <c r="B38" s="3"/>
      <c r="C38" s="10"/>
      <c r="D38" s="14"/>
      <c r="E38" s="14"/>
      <c r="F38" s="14"/>
      <c r="G38" s="14"/>
      <c r="H38" s="14"/>
      <c r="I38" s="14"/>
      <c r="J38" s="38">
        <v>1000</v>
      </c>
      <c r="K38" s="12"/>
      <c r="L38" s="14"/>
      <c r="M38" s="25"/>
      <c r="N38" s="11"/>
      <c r="O38" s="7"/>
    </row>
    <row r="39" spans="1:15" ht="15" x14ac:dyDescent="0.25">
      <c r="A39" s="13" t="s">
        <v>98</v>
      </c>
      <c r="B39" s="10"/>
      <c r="C39" s="10"/>
      <c r="D39" s="14"/>
      <c r="E39" s="14"/>
      <c r="F39" s="14"/>
      <c r="G39" s="14"/>
      <c r="H39" s="14"/>
      <c r="I39" s="14"/>
      <c r="J39" s="39">
        <f>SUM(J30:J38)</f>
        <v>37254</v>
      </c>
      <c r="K39" s="12"/>
      <c r="L39" s="14"/>
      <c r="M39" s="25"/>
      <c r="N39" s="11"/>
      <c r="O39" s="7"/>
    </row>
    <row r="40" spans="1:15" ht="15" x14ac:dyDescent="0.25">
      <c r="A40" s="13"/>
      <c r="B40" s="10"/>
      <c r="C40" s="10"/>
      <c r="D40" s="14"/>
      <c r="E40" s="14"/>
      <c r="F40" s="14"/>
      <c r="G40" s="14"/>
      <c r="H40" s="14"/>
      <c r="I40" s="14"/>
      <c r="J40" s="39"/>
      <c r="K40" s="12">
        <v>0</v>
      </c>
      <c r="L40" s="14"/>
      <c r="M40" s="25"/>
      <c r="N40" s="11"/>
      <c r="O40" s="7"/>
    </row>
    <row r="41" spans="1:15" ht="15" x14ac:dyDescent="0.25">
      <c r="A41" s="13" t="s">
        <v>99</v>
      </c>
      <c r="B41" s="10"/>
      <c r="C41" s="10"/>
      <c r="D41" s="14"/>
      <c r="E41" s="14" t="s">
        <v>96</v>
      </c>
      <c r="F41" s="14"/>
      <c r="G41" s="14"/>
      <c r="H41" s="14"/>
      <c r="I41" s="14"/>
      <c r="J41" s="39">
        <f>JULY!M40</f>
        <v>3344</v>
      </c>
      <c r="K41" s="12"/>
      <c r="L41" s="14"/>
      <c r="M41" s="25"/>
      <c r="N41" s="11"/>
      <c r="O41" s="7"/>
    </row>
    <row r="42" spans="1:15" ht="15" x14ac:dyDescent="0.25">
      <c r="A42" s="9"/>
      <c r="B42" s="10"/>
      <c r="C42" s="10"/>
      <c r="D42" s="14"/>
      <c r="E42" s="14"/>
      <c r="F42" s="14"/>
      <c r="G42" s="14"/>
      <c r="H42" s="14"/>
      <c r="I42" s="14"/>
      <c r="J42" s="14"/>
      <c r="K42" s="40" t="s">
        <v>100</v>
      </c>
      <c r="L42" s="41" t="s">
        <v>100</v>
      </c>
      <c r="M42" s="42" t="s">
        <v>101</v>
      </c>
      <c r="O42" s="7"/>
    </row>
    <row r="43" spans="1:15" ht="15" x14ac:dyDescent="0.25">
      <c r="A43" s="43" t="s">
        <v>102</v>
      </c>
      <c r="B43" s="33"/>
      <c r="C43" s="33"/>
      <c r="D43" s="34"/>
      <c r="E43" s="34"/>
      <c r="F43" s="34"/>
      <c r="G43" s="34"/>
      <c r="H43" s="34"/>
      <c r="I43" s="34"/>
      <c r="J43" s="34">
        <f>J28-J39+J41</f>
        <v>70890</v>
      </c>
      <c r="K43" s="44">
        <v>80000</v>
      </c>
      <c r="L43" s="45"/>
      <c r="M43" s="46">
        <f>J43-K43-L43</f>
        <v>-9110</v>
      </c>
      <c r="O43" s="7"/>
    </row>
    <row r="44" spans="1:15" ht="15" x14ac:dyDescent="0.25">
      <c r="A44" s="47"/>
      <c r="B44" s="48"/>
      <c r="C44" s="48"/>
      <c r="D44" s="49"/>
      <c r="E44" s="49"/>
      <c r="F44" s="49"/>
      <c r="G44" s="49"/>
      <c r="H44" s="49"/>
      <c r="I44" s="49"/>
      <c r="J44" s="49"/>
      <c r="K44" s="50"/>
      <c r="L44" s="49"/>
      <c r="M44" s="49" t="s">
        <v>96</v>
      </c>
      <c r="N44" s="11"/>
      <c r="O44" s="7"/>
    </row>
    <row r="45" spans="1:15" ht="15" x14ac:dyDescent="0.25">
      <c r="A45" s="12" t="s">
        <v>103</v>
      </c>
      <c r="B45" s="10"/>
      <c r="C45" s="10"/>
      <c r="D45" s="11"/>
      <c r="E45" s="11"/>
      <c r="F45" s="11"/>
      <c r="G45" s="11"/>
      <c r="H45" s="11"/>
      <c r="I45" s="11"/>
      <c r="J45" s="11"/>
      <c r="K45" s="51"/>
      <c r="L45" s="11"/>
      <c r="M45" s="52">
        <v>46265</v>
      </c>
      <c r="N45" s="11"/>
      <c r="O45" s="7"/>
    </row>
    <row r="46" spans="1:15" ht="15" x14ac:dyDescent="0.25">
      <c r="A46" s="9"/>
      <c r="B46" s="10"/>
      <c r="C46" s="10"/>
      <c r="D46" s="11"/>
      <c r="E46" s="11"/>
      <c r="F46" s="11"/>
      <c r="G46" s="11"/>
      <c r="H46" s="11"/>
      <c r="I46" s="11"/>
      <c r="J46" s="11"/>
      <c r="K46" s="12"/>
      <c r="L46" s="11"/>
      <c r="M46" s="53"/>
      <c r="N46" s="11"/>
      <c r="O46" s="7"/>
    </row>
    <row r="49" spans="6:13" x14ac:dyDescent="0.2">
      <c r="F49" s="54"/>
      <c r="G49" s="54"/>
      <c r="H49" s="54"/>
    </row>
    <row r="50" spans="6:13" x14ac:dyDescent="0.2">
      <c r="F50" s="54"/>
      <c r="G50" s="54"/>
      <c r="H50" s="54"/>
      <c r="J50" s="55"/>
      <c r="K50" s="55"/>
      <c r="M50" s="8">
        <f>24740-12300-1700</f>
        <v>10740</v>
      </c>
    </row>
    <row r="53" spans="6:13" x14ac:dyDescent="0.2">
      <c r="J53" s="56">
        <f>J28/I28*100</f>
        <v>71.389645776566752</v>
      </c>
    </row>
    <row r="55" spans="6:13" x14ac:dyDescent="0.2">
      <c r="J55" s="55"/>
    </row>
    <row r="58" spans="6:13" x14ac:dyDescent="0.2">
      <c r="M58" s="55"/>
    </row>
  </sheetData>
  <mergeCells count="1">
    <mergeCell ref="A3:M3"/>
  </mergeCells>
  <pageMargins left="0.25" right="0.25" top="0.75" bottom="0.75" header="0.3" footer="0.3"/>
  <pageSetup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3DAB-6DB3-4534-A381-297CC1F7F22E}">
  <sheetPr>
    <pageSetUpPr fitToPage="1"/>
  </sheetPr>
  <dimension ref="A1:S55"/>
  <sheetViews>
    <sheetView topLeftCell="A8" zoomScale="81" zoomScaleNormal="80" workbookViewId="0">
      <selection activeCell="J13" sqref="J13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20.570312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1.710937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25.285156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9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9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9" ht="15" x14ac:dyDescent="0.25">
      <c r="A3" s="67" t="s">
        <v>267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9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9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9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9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9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9" ht="23.25" x14ac:dyDescent="0.25">
      <c r="A9" s="2" t="s">
        <v>12</v>
      </c>
      <c r="C9" s="2" t="s">
        <v>13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9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AUG!M10</f>
        <v>0</v>
      </c>
      <c r="G10" s="21">
        <v>100</v>
      </c>
      <c r="H10" s="22">
        <v>750</v>
      </c>
      <c r="I10" s="21">
        <f>D10+E10+F10+G10+H10</f>
        <v>8350</v>
      </c>
      <c r="J10" s="65">
        <v>8350</v>
      </c>
      <c r="K10" s="58" t="s">
        <v>281</v>
      </c>
      <c r="L10" s="61" t="s">
        <v>266</v>
      </c>
      <c r="M10" s="25">
        <f>I10-J10</f>
        <v>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19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AUG!M11</f>
        <v>1650</v>
      </c>
      <c r="G11" s="21">
        <v>100</v>
      </c>
      <c r="H11" s="21">
        <v>250</v>
      </c>
      <c r="I11" s="21">
        <f t="shared" ref="I11:I27" si="0">D11+E11+F11+G11+H11</f>
        <v>9500</v>
      </c>
      <c r="J11" s="59">
        <f>7850</f>
        <v>7850</v>
      </c>
      <c r="K11" s="57" t="s">
        <v>275</v>
      </c>
      <c r="L11" s="61" t="s">
        <v>266</v>
      </c>
      <c r="M11" s="25">
        <f t="shared" ref="M11:M27" si="1">I11-J11</f>
        <v>1650</v>
      </c>
      <c r="N11" s="29"/>
      <c r="O11" s="22" t="s">
        <v>29</v>
      </c>
      <c r="Q11" s="8" t="s">
        <v>34</v>
      </c>
      <c r="R11" s="8">
        <v>50000</v>
      </c>
    </row>
    <row r="12" spans="1:19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AUG!M12</f>
        <v>0</v>
      </c>
      <c r="G12" s="21">
        <v>100</v>
      </c>
      <c r="H12" s="21">
        <v>0</v>
      </c>
      <c r="I12" s="21">
        <f t="shared" si="0"/>
        <v>7600</v>
      </c>
      <c r="J12" s="63">
        <f>7500</f>
        <v>7500</v>
      </c>
      <c r="K12" s="57" t="s">
        <v>271</v>
      </c>
      <c r="L12" s="61" t="s">
        <v>266</v>
      </c>
      <c r="M12" s="25">
        <f t="shared" si="1"/>
        <v>100</v>
      </c>
      <c r="N12" s="37"/>
      <c r="O12" s="22" t="s">
        <v>29</v>
      </c>
      <c r="Q12" s="8" t="s">
        <v>39</v>
      </c>
      <c r="R12" s="8">
        <v>140208</v>
      </c>
    </row>
    <row r="13" spans="1:19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AUG!M13</f>
        <v>6400</v>
      </c>
      <c r="G13" s="21">
        <v>100</v>
      </c>
      <c r="H13" s="21">
        <v>0</v>
      </c>
      <c r="I13" s="21">
        <f t="shared" si="0"/>
        <v>14000</v>
      </c>
      <c r="J13" s="63">
        <f>5000+8000</f>
        <v>13000</v>
      </c>
      <c r="K13" s="57" t="s">
        <v>291</v>
      </c>
      <c r="L13" s="61" t="s">
        <v>266</v>
      </c>
      <c r="M13" s="25">
        <f t="shared" si="1"/>
        <v>1000</v>
      </c>
      <c r="N13" s="29"/>
      <c r="O13" s="22" t="s">
        <v>29</v>
      </c>
      <c r="Q13" s="8" t="s">
        <v>43</v>
      </c>
      <c r="R13" s="8">
        <v>32850</v>
      </c>
      <c r="S13" s="8" t="s">
        <v>179</v>
      </c>
    </row>
    <row r="14" spans="1:19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AUG!M14</f>
        <v>0</v>
      </c>
      <c r="G14" s="21">
        <v>100</v>
      </c>
      <c r="H14" s="21">
        <v>500</v>
      </c>
      <c r="I14" s="21">
        <f t="shared" si="0"/>
        <v>8100</v>
      </c>
      <c r="J14" s="59">
        <f>3500+4500</f>
        <v>8000</v>
      </c>
      <c r="K14" s="57" t="s">
        <v>284</v>
      </c>
      <c r="L14" s="61" t="s">
        <v>266</v>
      </c>
      <c r="M14" s="25">
        <f t="shared" si="1"/>
        <v>100</v>
      </c>
      <c r="N14" s="29"/>
      <c r="O14" s="22" t="s">
        <v>29</v>
      </c>
      <c r="Q14" s="8" t="s">
        <v>45</v>
      </c>
      <c r="R14" s="8">
        <v>32160</v>
      </c>
      <c r="S14" s="8" t="s">
        <v>179</v>
      </c>
    </row>
    <row r="15" spans="1:19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AUG!M15</f>
        <v>3050</v>
      </c>
      <c r="G15" s="21">
        <v>100</v>
      </c>
      <c r="H15" s="21">
        <v>500</v>
      </c>
      <c r="I15" s="21">
        <f t="shared" si="0"/>
        <v>11150</v>
      </c>
      <c r="J15" s="59">
        <f>8100</f>
        <v>8100</v>
      </c>
      <c r="K15" s="57" t="s">
        <v>273</v>
      </c>
      <c r="L15" s="61" t="s">
        <v>266</v>
      </c>
      <c r="M15" s="25">
        <f t="shared" si="1"/>
        <v>3050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19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AUG!M16</f>
        <v>5350</v>
      </c>
      <c r="G16" s="21">
        <v>100</v>
      </c>
      <c r="H16" s="21">
        <v>1000</v>
      </c>
      <c r="I16" s="21">
        <f t="shared" si="0"/>
        <v>13950</v>
      </c>
      <c r="J16" s="59">
        <f>3500+3000</f>
        <v>6500</v>
      </c>
      <c r="K16" s="57" t="s">
        <v>285</v>
      </c>
      <c r="L16" s="61" t="s">
        <v>266</v>
      </c>
      <c r="M16" s="25">
        <f t="shared" si="1"/>
        <v>7450</v>
      </c>
      <c r="N16" s="29" t="s">
        <v>292</v>
      </c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AUG!M17</f>
        <v>-550</v>
      </c>
      <c r="G17" s="21">
        <v>100</v>
      </c>
      <c r="H17" s="21">
        <v>0</v>
      </c>
      <c r="I17" s="21">
        <f t="shared" si="0"/>
        <v>7050</v>
      </c>
      <c r="J17" s="59">
        <f>500+7500</f>
        <v>8000</v>
      </c>
      <c r="K17" s="58" t="s">
        <v>269</v>
      </c>
      <c r="L17" s="61" t="s">
        <v>266</v>
      </c>
      <c r="M17" s="25">
        <f t="shared" si="1"/>
        <v>-950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279</v>
      </c>
      <c r="C18" s="20" t="s">
        <v>283</v>
      </c>
      <c r="D18" s="21"/>
      <c r="E18" s="21">
        <v>10000</v>
      </c>
      <c r="F18" s="21">
        <f>AUG!M18</f>
        <v>15100</v>
      </c>
      <c r="G18" s="21">
        <v>100</v>
      </c>
      <c r="H18" s="21">
        <v>0</v>
      </c>
      <c r="I18" s="21">
        <f t="shared" si="0"/>
        <v>25200</v>
      </c>
      <c r="J18" s="59">
        <f>8000+14000</f>
        <v>22000</v>
      </c>
      <c r="K18" s="57" t="s">
        <v>278</v>
      </c>
      <c r="L18" s="61" t="s">
        <v>266</v>
      </c>
      <c r="M18" s="25">
        <f t="shared" si="1"/>
        <v>3200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f>AUG!M19</f>
        <v>5800</v>
      </c>
      <c r="G19" s="21">
        <v>100</v>
      </c>
      <c r="H19" s="21">
        <v>1500</v>
      </c>
      <c r="I19" s="21">
        <f t="shared" si="0"/>
        <v>14900</v>
      </c>
      <c r="J19" s="59">
        <f>8000+9500</f>
        <v>17500</v>
      </c>
      <c r="K19" s="57" t="s">
        <v>287</v>
      </c>
      <c r="L19" s="61" t="s">
        <v>266</v>
      </c>
      <c r="M19" s="25">
        <f t="shared" si="1"/>
        <v>-2600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AUG!M20</f>
        <v>-150</v>
      </c>
      <c r="G20" s="21">
        <v>100</v>
      </c>
      <c r="H20" s="21">
        <v>250</v>
      </c>
      <c r="I20" s="21">
        <f t="shared" si="0"/>
        <v>7700</v>
      </c>
      <c r="J20" s="59">
        <f>7750</f>
        <v>7750</v>
      </c>
      <c r="K20" s="57" t="s">
        <v>270</v>
      </c>
      <c r="L20" s="61" t="s">
        <v>266</v>
      </c>
      <c r="M20" s="25">
        <f t="shared" si="1"/>
        <v>-50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288</v>
      </c>
      <c r="C21" s="20" t="s">
        <v>289</v>
      </c>
      <c r="D21" s="21">
        <v>10000</v>
      </c>
      <c r="E21" s="21">
        <v>10000</v>
      </c>
      <c r="F21" s="21">
        <f>AUG!M21</f>
        <v>0</v>
      </c>
      <c r="G21" s="21"/>
      <c r="H21" s="21"/>
      <c r="I21" s="21">
        <f t="shared" si="0"/>
        <v>20000</v>
      </c>
      <c r="J21" s="59">
        <f>10200+3000+1500+300</f>
        <v>15000</v>
      </c>
      <c r="K21" s="57" t="s">
        <v>290</v>
      </c>
      <c r="L21" s="61" t="s">
        <v>266</v>
      </c>
      <c r="M21" s="25">
        <f t="shared" si="1"/>
        <v>5000</v>
      </c>
      <c r="N21" s="29"/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111</v>
      </c>
      <c r="C22" s="20"/>
      <c r="D22" s="21"/>
      <c r="E22" s="21"/>
      <c r="F22" s="21">
        <f>AUG!M22</f>
        <v>0</v>
      </c>
      <c r="G22" s="21"/>
      <c r="H22" s="21">
        <v>0</v>
      </c>
      <c r="I22" s="21">
        <f t="shared" si="0"/>
        <v>0</v>
      </c>
      <c r="J22" s="59"/>
      <c r="K22" s="62"/>
      <c r="L22" s="61" t="s">
        <v>266</v>
      </c>
      <c r="M22" s="25">
        <f t="shared" si="1"/>
        <v>0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>
        <v>0</v>
      </c>
      <c r="E23" s="21">
        <v>7000</v>
      </c>
      <c r="F23" s="21">
        <f>AUG!M23</f>
        <v>-50</v>
      </c>
      <c r="G23" s="21">
        <v>100</v>
      </c>
      <c r="H23" s="21">
        <v>500</v>
      </c>
      <c r="I23" s="21">
        <f t="shared" si="0"/>
        <v>7550</v>
      </c>
      <c r="J23" s="59">
        <f>7600</f>
        <v>7600</v>
      </c>
      <c r="K23" s="57" t="s">
        <v>268</v>
      </c>
      <c r="L23" s="61" t="s">
        <v>266</v>
      </c>
      <c r="M23" s="25">
        <f t="shared" si="1"/>
        <v>-50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282</v>
      </c>
      <c r="D24" s="21"/>
      <c r="E24" s="21">
        <v>7000</v>
      </c>
      <c r="F24" s="21">
        <f>AUG!M24</f>
        <v>2200</v>
      </c>
      <c r="G24" s="21">
        <v>100</v>
      </c>
      <c r="H24" s="21">
        <v>250</v>
      </c>
      <c r="I24" s="21">
        <f t="shared" si="0"/>
        <v>9550</v>
      </c>
      <c r="J24" s="59">
        <f>7000+2050</f>
        <v>9050</v>
      </c>
      <c r="K24" s="58" t="s">
        <v>277</v>
      </c>
      <c r="L24" s="61" t="s">
        <v>266</v>
      </c>
      <c r="M24" s="25">
        <f t="shared" si="1"/>
        <v>500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>
        <v>0</v>
      </c>
      <c r="E25" s="21">
        <v>7000</v>
      </c>
      <c r="F25" s="21">
        <f>AUG!M25</f>
        <v>3200</v>
      </c>
      <c r="G25" s="21">
        <v>100</v>
      </c>
      <c r="H25" s="21">
        <v>1000</v>
      </c>
      <c r="I25" s="21">
        <f t="shared" si="0"/>
        <v>11300</v>
      </c>
      <c r="J25" s="59">
        <f>10200</f>
        <v>10200</v>
      </c>
      <c r="K25" s="58" t="s">
        <v>272</v>
      </c>
      <c r="L25" s="61" t="s">
        <v>266</v>
      </c>
      <c r="M25" s="25">
        <f t="shared" si="1"/>
        <v>1100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280</v>
      </c>
      <c r="C26" s="20" t="s">
        <v>274</v>
      </c>
      <c r="D26" s="21">
        <v>10000</v>
      </c>
      <c r="E26" s="21">
        <v>10000</v>
      </c>
      <c r="F26" s="21">
        <f>AUG!M26</f>
        <v>0</v>
      </c>
      <c r="G26" s="21"/>
      <c r="H26" s="21">
        <v>0</v>
      </c>
      <c r="I26" s="21">
        <f t="shared" si="0"/>
        <v>20000</v>
      </c>
      <c r="J26" s="59">
        <f>15000</f>
        <v>15000</v>
      </c>
      <c r="K26" s="57" t="s">
        <v>276</v>
      </c>
      <c r="L26" s="61" t="s">
        <v>266</v>
      </c>
      <c r="M26" s="25">
        <f t="shared" si="1"/>
        <v>5000</v>
      </c>
      <c r="N26" s="29"/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AUG!M27</f>
        <v>0</v>
      </c>
      <c r="G27" s="21"/>
      <c r="H27" s="21">
        <v>0</v>
      </c>
      <c r="I27" s="21">
        <f t="shared" si="0"/>
        <v>0</v>
      </c>
      <c r="J27" s="59"/>
      <c r="K27" s="62"/>
      <c r="L27" s="61" t="s">
        <v>266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20000</v>
      </c>
      <c r="E28" s="34">
        <f t="shared" si="2"/>
        <v>126000</v>
      </c>
      <c r="F28" s="34">
        <f>SUM(F10:F27)</f>
        <v>42000</v>
      </c>
      <c r="G28" s="34">
        <f>SUM(G10:G27)</f>
        <v>1400</v>
      </c>
      <c r="H28" s="35">
        <f>SUM(H10:H27)</f>
        <v>6500</v>
      </c>
      <c r="I28" s="34">
        <f>SUM(I10:I27)</f>
        <v>195900</v>
      </c>
      <c r="J28" s="34">
        <f>SUM(J10:J27)</f>
        <v>171400</v>
      </c>
      <c r="K28" s="36"/>
      <c r="L28" s="24"/>
      <c r="M28" s="37">
        <f>SUM(M10:M27)</f>
        <v>24500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13" t="s">
        <v>94</v>
      </c>
      <c r="B30" s="3"/>
      <c r="C30" s="10"/>
      <c r="D30" s="14"/>
      <c r="E30" s="14"/>
      <c r="F30" s="14"/>
      <c r="G30" s="14"/>
      <c r="H30" s="14"/>
      <c r="I30" s="14"/>
      <c r="J30" s="38">
        <f>8%*(J28-H28-G28-D28)</f>
        <v>11480</v>
      </c>
      <c r="K30" s="12"/>
      <c r="L30" s="14" t="s">
        <v>6</v>
      </c>
      <c r="M30" s="25"/>
      <c r="N30" s="11"/>
      <c r="O30" s="7"/>
    </row>
    <row r="31" spans="1:19" ht="15" x14ac:dyDescent="0.25">
      <c r="A31" s="13" t="s">
        <v>95</v>
      </c>
      <c r="B31" s="3"/>
      <c r="C31" s="10"/>
      <c r="D31" s="14"/>
      <c r="E31" s="14"/>
      <c r="F31" s="14"/>
      <c r="G31" s="14"/>
      <c r="H31" s="14"/>
      <c r="I31" s="14"/>
      <c r="J31" s="38">
        <f>1000+1000</f>
        <v>2000</v>
      </c>
      <c r="K31" s="12"/>
      <c r="L31" s="14"/>
      <c r="M31" s="25"/>
      <c r="N31" s="11"/>
      <c r="O31" s="7"/>
    </row>
    <row r="32" spans="1:19" ht="15" x14ac:dyDescent="0.25">
      <c r="A32" s="13" t="s">
        <v>149</v>
      </c>
      <c r="B32" s="3"/>
      <c r="C32" s="10"/>
      <c r="D32" s="14"/>
      <c r="E32" s="14"/>
      <c r="F32" s="14"/>
      <c r="G32" s="14" t="s">
        <v>96</v>
      </c>
      <c r="H32" s="14"/>
      <c r="I32" s="14"/>
      <c r="J32" s="38">
        <v>1600</v>
      </c>
      <c r="K32" s="12"/>
      <c r="L32" s="14"/>
      <c r="M32" s="25"/>
      <c r="N32" s="11"/>
      <c r="O32" s="7"/>
    </row>
    <row r="33" spans="1:15" ht="15" x14ac:dyDescent="0.25">
      <c r="A33" s="13" t="s">
        <v>97</v>
      </c>
      <c r="B33" s="3"/>
      <c r="C33" s="10"/>
      <c r="D33" s="14"/>
      <c r="E33" s="14"/>
      <c r="F33" s="14"/>
      <c r="G33" s="14"/>
      <c r="H33" s="14"/>
      <c r="I33" s="14"/>
      <c r="J33" s="38">
        <v>30743</v>
      </c>
      <c r="K33" s="12"/>
      <c r="L33" s="14"/>
      <c r="M33" s="25">
        <f>8%*M32</f>
        <v>0</v>
      </c>
      <c r="N33" s="11"/>
      <c r="O33" s="7"/>
    </row>
    <row r="34" spans="1:15" ht="15" x14ac:dyDescent="0.25">
      <c r="A34" s="13" t="s">
        <v>286</v>
      </c>
      <c r="B34" s="3"/>
      <c r="C34" s="10"/>
      <c r="D34" s="14"/>
      <c r="E34" s="14"/>
      <c r="F34" s="14"/>
      <c r="G34" s="14"/>
      <c r="H34" s="14"/>
      <c r="I34" s="14"/>
      <c r="J34" s="38">
        <f>7000+1250</f>
        <v>8250</v>
      </c>
      <c r="K34" s="12"/>
      <c r="L34" s="14"/>
      <c r="M34" s="25"/>
      <c r="N34" s="11"/>
      <c r="O34" s="7"/>
    </row>
    <row r="35" spans="1:15" ht="15" x14ac:dyDescent="0.25">
      <c r="A35" s="13" t="s">
        <v>122</v>
      </c>
      <c r="B35" s="3"/>
      <c r="C35" s="10"/>
      <c r="D35" s="14"/>
      <c r="E35" s="14"/>
      <c r="F35" s="14"/>
      <c r="G35" s="14"/>
      <c r="H35" s="14"/>
      <c r="I35" s="14"/>
      <c r="J35" s="38"/>
      <c r="K35" s="12"/>
      <c r="L35" s="14"/>
      <c r="M35" s="25"/>
      <c r="N35" s="11"/>
      <c r="O35" s="7"/>
    </row>
    <row r="36" spans="1:15" ht="15" x14ac:dyDescent="0.25">
      <c r="A36" s="13" t="s">
        <v>98</v>
      </c>
      <c r="B36" s="10"/>
      <c r="C36" s="10"/>
      <c r="D36" s="14"/>
      <c r="E36" s="14"/>
      <c r="F36" s="14"/>
      <c r="G36" s="14"/>
      <c r="H36" s="14"/>
      <c r="I36" s="14"/>
      <c r="J36" s="39">
        <f>SUM(J30:J35)</f>
        <v>54073</v>
      </c>
      <c r="K36" s="12"/>
      <c r="L36" s="14"/>
      <c r="M36" s="25"/>
      <c r="N36" s="11"/>
      <c r="O36" s="7"/>
    </row>
    <row r="37" spans="1:15" ht="15" x14ac:dyDescent="0.25">
      <c r="A37" s="13"/>
      <c r="B37" s="10"/>
      <c r="C37" s="10"/>
      <c r="D37" s="14"/>
      <c r="E37" s="14"/>
      <c r="F37" s="14"/>
      <c r="G37" s="14"/>
      <c r="H37" s="14"/>
      <c r="I37" s="14"/>
      <c r="J37" s="39"/>
      <c r="K37" s="12">
        <v>0</v>
      </c>
      <c r="L37" s="14"/>
      <c r="M37" s="25"/>
      <c r="N37" s="11"/>
      <c r="O37" s="7"/>
    </row>
    <row r="38" spans="1:15" ht="15" x14ac:dyDescent="0.25">
      <c r="A38" s="13" t="s">
        <v>99</v>
      </c>
      <c r="B38" s="10"/>
      <c r="C38" s="10"/>
      <c r="D38" s="14"/>
      <c r="E38" s="14" t="s">
        <v>96</v>
      </c>
      <c r="F38" s="14"/>
      <c r="G38" s="14"/>
      <c r="H38" s="14"/>
      <c r="I38" s="14"/>
      <c r="J38" s="39">
        <f>AUG!M43</f>
        <v>-9110</v>
      </c>
      <c r="K38" s="12"/>
      <c r="L38" s="14"/>
      <c r="M38" s="25"/>
      <c r="N38" s="11"/>
      <c r="O38" s="7"/>
    </row>
    <row r="39" spans="1:15" ht="15" x14ac:dyDescent="0.25">
      <c r="A39" s="9"/>
      <c r="B39" s="10"/>
      <c r="C39" s="10"/>
      <c r="D39" s="14"/>
      <c r="E39" s="14"/>
      <c r="F39" s="14"/>
      <c r="G39" s="14"/>
      <c r="H39" s="14"/>
      <c r="I39" s="14"/>
      <c r="J39" s="14"/>
      <c r="K39" s="40" t="s">
        <v>100</v>
      </c>
      <c r="L39" s="41" t="s">
        <v>100</v>
      </c>
      <c r="M39" s="42" t="s">
        <v>101</v>
      </c>
      <c r="O39" s="7"/>
    </row>
    <row r="40" spans="1:15" ht="15" x14ac:dyDescent="0.25">
      <c r="A40" s="43" t="s">
        <v>102</v>
      </c>
      <c r="B40" s="33"/>
      <c r="C40" s="33"/>
      <c r="D40" s="34"/>
      <c r="E40" s="34"/>
      <c r="F40" s="34"/>
      <c r="G40" s="34"/>
      <c r="H40" s="34"/>
      <c r="I40" s="34"/>
      <c r="J40" s="34">
        <f>J28-J36+J38</f>
        <v>108217</v>
      </c>
      <c r="K40" s="44">
        <v>80000</v>
      </c>
      <c r="L40" s="45"/>
      <c r="M40" s="46">
        <f>J40-K40-L40</f>
        <v>28217</v>
      </c>
      <c r="O40" s="7"/>
    </row>
    <row r="41" spans="1:15" ht="15" x14ac:dyDescent="0.25">
      <c r="A41" s="47"/>
      <c r="B41" s="48"/>
      <c r="C41" s="48"/>
      <c r="D41" s="49"/>
      <c r="E41" s="49"/>
      <c r="F41" s="49"/>
      <c r="G41" s="49"/>
      <c r="H41" s="49"/>
      <c r="I41" s="49"/>
      <c r="J41" s="49"/>
      <c r="K41" s="50"/>
      <c r="L41" s="49"/>
      <c r="M41" s="49" t="s">
        <v>96</v>
      </c>
      <c r="N41" s="11"/>
      <c r="O41" s="7"/>
    </row>
    <row r="42" spans="1:15" ht="15" x14ac:dyDescent="0.25">
      <c r="A42" s="12" t="s">
        <v>103</v>
      </c>
      <c r="B42" s="10"/>
      <c r="C42" s="10"/>
      <c r="D42" s="11"/>
      <c r="E42" s="11"/>
      <c r="F42" s="11"/>
      <c r="G42" s="11"/>
      <c r="H42" s="11"/>
      <c r="I42" s="11"/>
      <c r="J42" s="11"/>
      <c r="K42" s="51"/>
      <c r="L42" s="11"/>
      <c r="M42" s="52">
        <v>46295</v>
      </c>
      <c r="N42" s="11"/>
      <c r="O42" s="7"/>
    </row>
    <row r="43" spans="1:15" ht="15" x14ac:dyDescent="0.25">
      <c r="A43" s="9"/>
      <c r="B43" s="10"/>
      <c r="C43" s="10"/>
      <c r="D43" s="11"/>
      <c r="E43" s="11"/>
      <c r="F43" s="11"/>
      <c r="G43" s="11"/>
      <c r="H43" s="11"/>
      <c r="I43" s="11"/>
      <c r="J43" s="11"/>
      <c r="K43" s="12"/>
      <c r="L43" s="11"/>
      <c r="M43" s="53"/>
      <c r="N43" s="11"/>
      <c r="O43" s="7"/>
    </row>
    <row r="46" spans="1:15" x14ac:dyDescent="0.2">
      <c r="F46" s="54"/>
      <c r="G46" s="54"/>
      <c r="H46" s="54"/>
    </row>
    <row r="47" spans="1:15" x14ac:dyDescent="0.2">
      <c r="F47" s="54"/>
      <c r="G47" s="54"/>
      <c r="H47" s="54"/>
      <c r="J47" s="55"/>
      <c r="K47" s="55"/>
      <c r="M47" s="8">
        <f>24740-12300-1700</f>
        <v>10740</v>
      </c>
    </row>
    <row r="50" spans="10:13" x14ac:dyDescent="0.2">
      <c r="J50" s="56">
        <f>J28/I28*100</f>
        <v>87.49361919346606</v>
      </c>
    </row>
    <row r="52" spans="10:13" x14ac:dyDescent="0.2">
      <c r="J52" s="55"/>
    </row>
    <row r="55" spans="10:13" x14ac:dyDescent="0.2">
      <c r="M55" s="55"/>
    </row>
  </sheetData>
  <mergeCells count="1">
    <mergeCell ref="A3:M3"/>
  </mergeCells>
  <pageMargins left="0.25" right="0.25" top="0.75" bottom="0.75" header="0.3" footer="0.3"/>
  <pageSetup scale="5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B52B-36F2-4319-836C-684C1520DFD8}">
  <sheetPr>
    <pageSetUpPr fitToPage="1"/>
  </sheetPr>
  <dimension ref="A1:S54"/>
  <sheetViews>
    <sheetView tabSelected="1" zoomScale="81" zoomScaleNormal="80" workbookViewId="0">
      <selection activeCell="C9" sqref="C9"/>
    </sheetView>
  </sheetViews>
  <sheetFormatPr defaultColWidth="9" defaultRowHeight="12.75" x14ac:dyDescent="0.2"/>
  <cols>
    <col min="1" max="1" width="6.28515625" style="8" customWidth="1"/>
    <col min="2" max="2" width="17.85546875" style="8" customWidth="1"/>
    <col min="3" max="3" width="20.5703125" style="8" customWidth="1"/>
    <col min="4" max="4" width="9.7109375" style="8" customWidth="1"/>
    <col min="5" max="5" width="17.42578125" style="8" customWidth="1"/>
    <col min="6" max="6" width="9.42578125" style="8" customWidth="1"/>
    <col min="7" max="7" width="10.28515625" style="8" customWidth="1"/>
    <col min="8" max="8" width="13.7109375" style="8" customWidth="1"/>
    <col min="9" max="9" width="9.7109375" style="8" customWidth="1"/>
    <col min="10" max="10" width="11.7109375" style="8" customWidth="1"/>
    <col min="11" max="11" width="27.5703125" style="8" customWidth="1"/>
    <col min="12" max="12" width="12.28515625" style="8" customWidth="1"/>
    <col min="13" max="13" width="13.42578125" style="8" customWidth="1"/>
    <col min="14" max="14" width="25.28515625" style="8" customWidth="1"/>
    <col min="15" max="15" width="9" style="8"/>
    <col min="16" max="16" width="0.42578125" style="8" customWidth="1"/>
    <col min="17" max="17" width="13.28515625" style="8" hidden="1" customWidth="1"/>
    <col min="18" max="18" width="12.28515625" style="8" hidden="1" customWidth="1"/>
    <col min="19" max="16384" width="9" style="8"/>
  </cols>
  <sheetData>
    <row r="1" spans="1:19" ht="15" x14ac:dyDescent="0.25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6"/>
      <c r="L1" s="5"/>
      <c r="M1" s="5"/>
      <c r="N1" s="4"/>
      <c r="O1" s="7"/>
    </row>
    <row r="2" spans="1:19" ht="15" x14ac:dyDescent="0.25">
      <c r="A2" s="1" t="s">
        <v>1</v>
      </c>
      <c r="B2" s="2"/>
      <c r="C2" s="2"/>
      <c r="D2" s="5"/>
      <c r="E2" s="5"/>
      <c r="F2" s="5"/>
      <c r="G2" s="5"/>
      <c r="H2" s="5"/>
      <c r="I2" s="5"/>
      <c r="J2" s="5"/>
      <c r="K2" s="6"/>
      <c r="L2" s="5"/>
      <c r="M2" s="5"/>
      <c r="N2" s="4"/>
      <c r="O2" s="7"/>
    </row>
    <row r="3" spans="1:19" ht="15" x14ac:dyDescent="0.25">
      <c r="A3" s="67" t="s">
        <v>294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4"/>
      <c r="O3" s="7"/>
    </row>
    <row r="4" spans="1:19" ht="15" x14ac:dyDescent="0.25">
      <c r="A4" s="9"/>
      <c r="B4" s="10"/>
      <c r="C4" s="10"/>
      <c r="D4" s="11"/>
      <c r="E4" s="11"/>
      <c r="F4" s="11"/>
      <c r="G4" s="11"/>
      <c r="H4" s="11"/>
      <c r="I4" s="11"/>
      <c r="J4" s="11"/>
      <c r="K4" s="12" t="s">
        <v>2</v>
      </c>
      <c r="L4" s="11"/>
      <c r="M4" s="11"/>
      <c r="N4" s="11"/>
      <c r="O4" s="7"/>
    </row>
    <row r="5" spans="1:19" ht="15" x14ac:dyDescent="0.25">
      <c r="A5" s="13" t="s">
        <v>3</v>
      </c>
      <c r="B5" s="10"/>
      <c r="C5" s="10"/>
      <c r="D5" s="11"/>
      <c r="E5" s="11"/>
      <c r="F5" s="11"/>
      <c r="G5" s="11"/>
      <c r="H5" s="11"/>
      <c r="I5" s="11"/>
      <c r="J5" s="11"/>
      <c r="K5" s="12" t="s">
        <v>4</v>
      </c>
      <c r="L5" s="11"/>
      <c r="M5" s="11"/>
      <c r="N5" s="11"/>
      <c r="O5" s="7"/>
    </row>
    <row r="6" spans="1:19" ht="15" x14ac:dyDescent="0.25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2"/>
      <c r="L6" s="11"/>
      <c r="M6" s="11"/>
      <c r="N6" s="11"/>
      <c r="O6" s="7"/>
      <c r="P6" s="8" t="s">
        <v>6</v>
      </c>
    </row>
    <row r="7" spans="1:19" ht="15" x14ac:dyDescent="0.25">
      <c r="A7" s="9" t="s">
        <v>7</v>
      </c>
      <c r="B7" s="10"/>
      <c r="C7" s="14">
        <v>880100</v>
      </c>
      <c r="D7" s="11"/>
      <c r="E7" s="11"/>
      <c r="F7" s="11"/>
      <c r="G7" s="11"/>
      <c r="H7" s="11"/>
      <c r="I7" s="11"/>
      <c r="J7" s="11" t="s">
        <v>8</v>
      </c>
      <c r="K7" s="12" t="s">
        <v>9</v>
      </c>
      <c r="L7" s="11"/>
      <c r="M7" s="11"/>
      <c r="N7" s="11"/>
      <c r="O7" s="7"/>
    </row>
    <row r="8" spans="1:19" ht="15" x14ac:dyDescent="0.25">
      <c r="A8" s="9"/>
      <c r="B8" s="10"/>
      <c r="C8" s="10"/>
      <c r="D8" s="11"/>
      <c r="E8" s="11"/>
      <c r="F8" s="11"/>
      <c r="G8" s="11"/>
      <c r="H8" s="11"/>
      <c r="I8" s="11"/>
      <c r="J8" s="11" t="s">
        <v>10</v>
      </c>
      <c r="K8" s="15" t="s">
        <v>11</v>
      </c>
      <c r="L8" s="11"/>
      <c r="M8" s="11"/>
      <c r="N8" s="11"/>
      <c r="O8" s="7"/>
    </row>
    <row r="9" spans="1:19" ht="23.25" x14ac:dyDescent="0.25">
      <c r="A9" s="2" t="s">
        <v>12</v>
      </c>
      <c r="C9" s="2" t="s">
        <v>296</v>
      </c>
      <c r="D9" s="16" t="s">
        <v>14</v>
      </c>
      <c r="E9" s="16" t="s">
        <v>15</v>
      </c>
      <c r="F9" s="5" t="s">
        <v>16</v>
      </c>
      <c r="G9" s="5" t="s">
        <v>17</v>
      </c>
      <c r="H9" s="5" t="s">
        <v>18</v>
      </c>
      <c r="I9" s="17" t="s">
        <v>19</v>
      </c>
      <c r="J9" s="5" t="s">
        <v>20</v>
      </c>
      <c r="K9" s="6" t="s">
        <v>21</v>
      </c>
      <c r="L9" s="5" t="s">
        <v>22</v>
      </c>
      <c r="M9" s="5" t="s">
        <v>23</v>
      </c>
      <c r="N9" s="5" t="s">
        <v>24</v>
      </c>
      <c r="O9" s="18" t="s">
        <v>25</v>
      </c>
    </row>
    <row r="10" spans="1:19" x14ac:dyDescent="0.2">
      <c r="A10" s="19" t="s">
        <v>26</v>
      </c>
      <c r="B10" s="9" t="s">
        <v>27</v>
      </c>
      <c r="C10" s="20" t="s">
        <v>28</v>
      </c>
      <c r="D10" s="21">
        <v>0</v>
      </c>
      <c r="E10" s="21">
        <v>7500</v>
      </c>
      <c r="F10" s="21">
        <f>SEP!M10</f>
        <v>0</v>
      </c>
      <c r="G10" s="21">
        <v>100</v>
      </c>
      <c r="H10" s="22"/>
      <c r="I10" s="21">
        <f>D10+E10+F10+G10+H10</f>
        <v>7600</v>
      </c>
      <c r="J10" s="59"/>
      <c r="K10" s="60"/>
      <c r="L10" s="61" t="s">
        <v>293</v>
      </c>
      <c r="M10" s="25">
        <f>I10-J10</f>
        <v>7600</v>
      </c>
      <c r="N10" s="26"/>
      <c r="O10" s="22" t="s">
        <v>29</v>
      </c>
      <c r="Q10" s="8" t="s">
        <v>30</v>
      </c>
      <c r="R10" s="8">
        <v>150000</v>
      </c>
      <c r="S10" s="8" t="s">
        <v>179</v>
      </c>
    </row>
    <row r="11" spans="1:19" x14ac:dyDescent="0.2">
      <c r="A11" s="19" t="s">
        <v>31</v>
      </c>
      <c r="B11" s="9" t="s">
        <v>32</v>
      </c>
      <c r="C11" s="20" t="s">
        <v>33</v>
      </c>
      <c r="D11" s="21"/>
      <c r="E11" s="21">
        <v>7500</v>
      </c>
      <c r="F11" s="21">
        <f>SEP!M11</f>
        <v>1650</v>
      </c>
      <c r="G11" s="21">
        <v>100</v>
      </c>
      <c r="H11" s="21"/>
      <c r="I11" s="21">
        <f t="shared" ref="I11:I27" si="0">D11+E11+F11+G11+H11</f>
        <v>9250</v>
      </c>
      <c r="J11" s="59"/>
      <c r="K11" s="62"/>
      <c r="L11" s="61" t="s">
        <v>293</v>
      </c>
      <c r="M11" s="25">
        <f t="shared" ref="M11:M27" si="1">I11-J11</f>
        <v>9250</v>
      </c>
      <c r="N11" s="29"/>
      <c r="O11" s="22" t="s">
        <v>29</v>
      </c>
      <c r="Q11" s="8" t="s">
        <v>34</v>
      </c>
      <c r="R11" s="8">
        <v>50000</v>
      </c>
    </row>
    <row r="12" spans="1:19" x14ac:dyDescent="0.2">
      <c r="A12" s="19" t="s">
        <v>35</v>
      </c>
      <c r="B12" s="9" t="s">
        <v>36</v>
      </c>
      <c r="C12" s="20" t="s">
        <v>37</v>
      </c>
      <c r="D12" s="21">
        <v>0</v>
      </c>
      <c r="E12" s="21">
        <v>7500</v>
      </c>
      <c r="F12" s="21">
        <f>SEP!M12</f>
        <v>100</v>
      </c>
      <c r="G12" s="21">
        <v>100</v>
      </c>
      <c r="H12" s="21"/>
      <c r="I12" s="21">
        <f t="shared" si="0"/>
        <v>7700</v>
      </c>
      <c r="J12" s="63"/>
      <c r="K12" s="62"/>
      <c r="L12" s="61" t="s">
        <v>293</v>
      </c>
      <c r="M12" s="25">
        <f t="shared" si="1"/>
        <v>7700</v>
      </c>
      <c r="N12" s="37"/>
      <c r="O12" s="22" t="s">
        <v>29</v>
      </c>
      <c r="Q12" s="8" t="s">
        <v>39</v>
      </c>
      <c r="R12" s="8">
        <v>140208</v>
      </c>
    </row>
    <row r="13" spans="1:19" x14ac:dyDescent="0.2">
      <c r="A13" s="19" t="s">
        <v>40</v>
      </c>
      <c r="B13" s="9" t="s">
        <v>41</v>
      </c>
      <c r="C13" s="20" t="s">
        <v>42</v>
      </c>
      <c r="D13" s="21">
        <v>0</v>
      </c>
      <c r="E13" s="21">
        <v>7500</v>
      </c>
      <c r="F13" s="21">
        <f>SEP!M13</f>
        <v>1000</v>
      </c>
      <c r="G13" s="21">
        <v>100</v>
      </c>
      <c r="H13" s="21"/>
      <c r="I13" s="21">
        <f t="shared" si="0"/>
        <v>8600</v>
      </c>
      <c r="J13" s="63"/>
      <c r="K13" s="62"/>
      <c r="L13" s="61" t="s">
        <v>293</v>
      </c>
      <c r="M13" s="25">
        <f t="shared" si="1"/>
        <v>8600</v>
      </c>
      <c r="N13" s="29"/>
      <c r="O13" s="22" t="s">
        <v>29</v>
      </c>
      <c r="Q13" s="8" t="s">
        <v>43</v>
      </c>
      <c r="R13" s="8">
        <v>32850</v>
      </c>
      <c r="S13" s="8" t="s">
        <v>179</v>
      </c>
    </row>
    <row r="14" spans="1:19" x14ac:dyDescent="0.2">
      <c r="A14" s="19" t="s">
        <v>44</v>
      </c>
      <c r="B14" s="9" t="s">
        <v>135</v>
      </c>
      <c r="C14" s="28" t="s">
        <v>136</v>
      </c>
      <c r="D14" s="21"/>
      <c r="E14" s="21">
        <v>7500</v>
      </c>
      <c r="F14" s="21">
        <f>SEP!M14</f>
        <v>100</v>
      </c>
      <c r="G14" s="21">
        <v>100</v>
      </c>
      <c r="H14" s="21"/>
      <c r="I14" s="21">
        <f t="shared" si="0"/>
        <v>7700</v>
      </c>
      <c r="J14" s="59"/>
      <c r="K14" s="62"/>
      <c r="L14" s="61" t="s">
        <v>293</v>
      </c>
      <c r="M14" s="25">
        <f t="shared" si="1"/>
        <v>7700</v>
      </c>
      <c r="N14" s="29"/>
      <c r="O14" s="22" t="s">
        <v>29</v>
      </c>
      <c r="Q14" s="8" t="s">
        <v>45</v>
      </c>
      <c r="R14" s="8">
        <v>32160</v>
      </c>
      <c r="S14" s="8" t="s">
        <v>179</v>
      </c>
    </row>
    <row r="15" spans="1:19" x14ac:dyDescent="0.2">
      <c r="A15" s="19" t="s">
        <v>46</v>
      </c>
      <c r="B15" s="9" t="s">
        <v>47</v>
      </c>
      <c r="C15" s="20" t="s">
        <v>48</v>
      </c>
      <c r="D15" s="21"/>
      <c r="E15" s="21">
        <v>7500</v>
      </c>
      <c r="F15" s="21">
        <f>SEP!M15</f>
        <v>3050</v>
      </c>
      <c r="G15" s="21">
        <v>100</v>
      </c>
      <c r="H15" s="21"/>
      <c r="I15" s="21">
        <f t="shared" si="0"/>
        <v>10650</v>
      </c>
      <c r="J15" s="59"/>
      <c r="K15" s="62"/>
      <c r="L15" s="61" t="s">
        <v>293</v>
      </c>
      <c r="M15" s="25">
        <f t="shared" si="1"/>
        <v>10650</v>
      </c>
      <c r="N15" s="29"/>
      <c r="O15" s="22" t="s">
        <v>29</v>
      </c>
      <c r="Q15" s="8" t="s">
        <v>49</v>
      </c>
      <c r="R15" s="8">
        <v>38250</v>
      </c>
      <c r="S15" s="8" t="s">
        <v>179</v>
      </c>
    </row>
    <row r="16" spans="1:19" x14ac:dyDescent="0.2">
      <c r="A16" s="19" t="s">
        <v>50</v>
      </c>
      <c r="B16" s="19" t="s">
        <v>51</v>
      </c>
      <c r="C16" s="20" t="s">
        <v>52</v>
      </c>
      <c r="D16" s="21"/>
      <c r="E16" s="21">
        <v>7500</v>
      </c>
      <c r="F16" s="21">
        <f>SEP!M16</f>
        <v>7450</v>
      </c>
      <c r="G16" s="21">
        <v>100</v>
      </c>
      <c r="H16" s="21"/>
      <c r="I16" s="21">
        <f t="shared" si="0"/>
        <v>15050</v>
      </c>
      <c r="J16" s="59"/>
      <c r="K16" s="62"/>
      <c r="L16" s="61" t="s">
        <v>293</v>
      </c>
      <c r="M16" s="25">
        <f t="shared" si="1"/>
        <v>15050</v>
      </c>
      <c r="N16" s="29" t="s">
        <v>292</v>
      </c>
      <c r="O16" s="22" t="s">
        <v>29</v>
      </c>
      <c r="Q16" s="8" t="s">
        <v>53</v>
      </c>
      <c r="R16" s="8">
        <v>50000</v>
      </c>
      <c r="S16" s="8" t="s">
        <v>179</v>
      </c>
    </row>
    <row r="17" spans="1:19" x14ac:dyDescent="0.2">
      <c r="A17" s="19" t="s">
        <v>54</v>
      </c>
      <c r="B17" s="19" t="s">
        <v>55</v>
      </c>
      <c r="C17" s="20" t="s">
        <v>56</v>
      </c>
      <c r="D17" s="21">
        <v>0</v>
      </c>
      <c r="E17" s="21">
        <v>7500</v>
      </c>
      <c r="F17" s="21">
        <f>SEP!M17</f>
        <v>-950</v>
      </c>
      <c r="G17" s="21">
        <v>100</v>
      </c>
      <c r="H17" s="21"/>
      <c r="I17" s="21">
        <f t="shared" si="0"/>
        <v>6650</v>
      </c>
      <c r="J17" s="59">
        <f>500+7500</f>
        <v>8000</v>
      </c>
      <c r="K17" s="60" t="s">
        <v>295</v>
      </c>
      <c r="L17" s="61" t="s">
        <v>293</v>
      </c>
      <c r="M17" s="25">
        <f t="shared" si="1"/>
        <v>-1350</v>
      </c>
      <c r="N17" s="29"/>
      <c r="O17" s="22" t="s">
        <v>29</v>
      </c>
      <c r="Q17" s="8" t="s">
        <v>57</v>
      </c>
      <c r="R17" s="8">
        <v>60000</v>
      </c>
    </row>
    <row r="18" spans="1:19" x14ac:dyDescent="0.2">
      <c r="A18" s="19" t="s">
        <v>58</v>
      </c>
      <c r="B18" s="9" t="s">
        <v>279</v>
      </c>
      <c r="C18" s="20" t="s">
        <v>283</v>
      </c>
      <c r="D18" s="21"/>
      <c r="E18" s="21">
        <v>10000</v>
      </c>
      <c r="F18" s="21">
        <f>SEP!M18</f>
        <v>3200</v>
      </c>
      <c r="G18" s="21">
        <v>100</v>
      </c>
      <c r="H18" s="21"/>
      <c r="I18" s="21">
        <f t="shared" si="0"/>
        <v>13300</v>
      </c>
      <c r="J18" s="59"/>
      <c r="K18" s="62"/>
      <c r="L18" s="61" t="s">
        <v>293</v>
      </c>
      <c r="M18" s="25">
        <f t="shared" si="1"/>
        <v>13300</v>
      </c>
      <c r="N18" s="29"/>
      <c r="O18" s="22" t="s">
        <v>29</v>
      </c>
      <c r="Q18" s="8" t="s">
        <v>61</v>
      </c>
      <c r="R18" s="8">
        <v>150000</v>
      </c>
    </row>
    <row r="19" spans="1:19" x14ac:dyDescent="0.2">
      <c r="A19" s="19" t="s">
        <v>62</v>
      </c>
      <c r="B19" s="19" t="s">
        <v>172</v>
      </c>
      <c r="C19" s="20" t="s">
        <v>60</v>
      </c>
      <c r="D19" s="21"/>
      <c r="E19" s="21">
        <v>7500</v>
      </c>
      <c r="F19" s="21">
        <f>SEP!M19</f>
        <v>-2600</v>
      </c>
      <c r="G19" s="21">
        <v>100</v>
      </c>
      <c r="H19" s="21"/>
      <c r="I19" s="21">
        <f t="shared" si="0"/>
        <v>5000</v>
      </c>
      <c r="J19" s="59"/>
      <c r="K19" s="62"/>
      <c r="L19" s="61" t="s">
        <v>293</v>
      </c>
      <c r="M19" s="25">
        <f t="shared" si="1"/>
        <v>5000</v>
      </c>
      <c r="N19" s="29"/>
      <c r="O19" s="22" t="s">
        <v>29</v>
      </c>
      <c r="Q19" s="8" t="s">
        <v>61</v>
      </c>
      <c r="R19" s="8">
        <v>150000</v>
      </c>
      <c r="S19" s="8" t="s">
        <v>179</v>
      </c>
    </row>
    <row r="20" spans="1:19" x14ac:dyDescent="0.2">
      <c r="A20" s="30" t="s">
        <v>66</v>
      </c>
      <c r="B20" s="19" t="s">
        <v>67</v>
      </c>
      <c r="C20" s="20" t="s">
        <v>114</v>
      </c>
      <c r="D20" s="21">
        <v>0</v>
      </c>
      <c r="E20" s="21">
        <v>7500</v>
      </c>
      <c r="F20" s="21">
        <f>SEP!M20</f>
        <v>-50</v>
      </c>
      <c r="G20" s="21">
        <v>100</v>
      </c>
      <c r="H20" s="21"/>
      <c r="I20" s="21">
        <f t="shared" si="0"/>
        <v>7550</v>
      </c>
      <c r="J20" s="59"/>
      <c r="K20" s="62"/>
      <c r="L20" s="61" t="s">
        <v>293</v>
      </c>
      <c r="M20" s="25">
        <f t="shared" si="1"/>
        <v>7550</v>
      </c>
      <c r="N20" s="29"/>
      <c r="O20" s="22" t="s">
        <v>29</v>
      </c>
      <c r="Q20" s="8" t="s">
        <v>68</v>
      </c>
      <c r="R20" s="8">
        <v>100000</v>
      </c>
      <c r="S20" s="8" t="s">
        <v>179</v>
      </c>
    </row>
    <row r="21" spans="1:19" x14ac:dyDescent="0.2">
      <c r="A21" s="30" t="s">
        <v>69</v>
      </c>
      <c r="B21" s="9" t="s">
        <v>288</v>
      </c>
      <c r="C21" s="20" t="s">
        <v>289</v>
      </c>
      <c r="D21" s="21"/>
      <c r="E21" s="21">
        <v>10000</v>
      </c>
      <c r="F21" s="21">
        <f>SEP!M21</f>
        <v>5000</v>
      </c>
      <c r="G21" s="21"/>
      <c r="H21" s="21"/>
      <c r="I21" s="21">
        <f t="shared" si="0"/>
        <v>15000</v>
      </c>
      <c r="J21" s="59"/>
      <c r="K21" s="62"/>
      <c r="L21" s="61" t="s">
        <v>293</v>
      </c>
      <c r="M21" s="25">
        <f t="shared" si="1"/>
        <v>15000</v>
      </c>
      <c r="N21" s="29"/>
      <c r="O21" s="22" t="s">
        <v>29</v>
      </c>
      <c r="Q21" s="8" t="s">
        <v>72</v>
      </c>
      <c r="R21" s="8">
        <v>30000</v>
      </c>
      <c r="S21" s="8" t="s">
        <v>179</v>
      </c>
    </row>
    <row r="22" spans="1:19" x14ac:dyDescent="0.2">
      <c r="A22" s="30" t="s">
        <v>73</v>
      </c>
      <c r="B22" s="9" t="s">
        <v>111</v>
      </c>
      <c r="C22" s="20"/>
      <c r="D22" s="21"/>
      <c r="E22" s="21"/>
      <c r="F22" s="21">
        <f>SEP!M22</f>
        <v>0</v>
      </c>
      <c r="G22" s="21"/>
      <c r="H22" s="21"/>
      <c r="I22" s="21">
        <f t="shared" si="0"/>
        <v>0</v>
      </c>
      <c r="J22" s="59"/>
      <c r="K22" s="62"/>
      <c r="L22" s="61" t="s">
        <v>293</v>
      </c>
      <c r="M22" s="25">
        <f t="shared" si="1"/>
        <v>0</v>
      </c>
      <c r="N22" s="29"/>
      <c r="O22" s="22" t="s">
        <v>29</v>
      </c>
      <c r="Q22" s="8" t="s">
        <v>76</v>
      </c>
      <c r="R22" s="8">
        <v>11500</v>
      </c>
      <c r="S22" s="8" t="s">
        <v>179</v>
      </c>
    </row>
    <row r="23" spans="1:19" x14ac:dyDescent="0.2">
      <c r="A23" s="30" t="s">
        <v>77</v>
      </c>
      <c r="B23" s="9" t="s">
        <v>78</v>
      </c>
      <c r="C23" s="20" t="s">
        <v>79</v>
      </c>
      <c r="D23" s="21"/>
      <c r="E23" s="21">
        <v>7000</v>
      </c>
      <c r="F23" s="21">
        <f>SEP!M23</f>
        <v>-50</v>
      </c>
      <c r="G23" s="21">
        <v>100</v>
      </c>
      <c r="H23" s="21"/>
      <c r="I23" s="21">
        <f t="shared" si="0"/>
        <v>7050</v>
      </c>
      <c r="J23" s="59"/>
      <c r="K23" s="62"/>
      <c r="L23" s="61" t="s">
        <v>293</v>
      </c>
      <c r="M23" s="25">
        <f t="shared" si="1"/>
        <v>7050</v>
      </c>
      <c r="N23" s="29"/>
      <c r="O23" s="22" t="s">
        <v>29</v>
      </c>
      <c r="Q23" s="8" t="s">
        <v>80</v>
      </c>
      <c r="R23" s="8">
        <v>15500</v>
      </c>
      <c r="S23" s="8" t="s">
        <v>179</v>
      </c>
    </row>
    <row r="24" spans="1:19" x14ac:dyDescent="0.2">
      <c r="A24" s="30" t="s">
        <v>81</v>
      </c>
      <c r="B24" s="9" t="s">
        <v>82</v>
      </c>
      <c r="C24" s="20" t="s">
        <v>282</v>
      </c>
      <c r="D24" s="21"/>
      <c r="E24" s="21">
        <v>7000</v>
      </c>
      <c r="F24" s="21">
        <f>SEP!M24</f>
        <v>500</v>
      </c>
      <c r="G24" s="21">
        <v>100</v>
      </c>
      <c r="H24" s="21"/>
      <c r="I24" s="21">
        <f t="shared" si="0"/>
        <v>7600</v>
      </c>
      <c r="J24" s="59"/>
      <c r="K24" s="60"/>
      <c r="L24" s="61" t="s">
        <v>293</v>
      </c>
      <c r="M24" s="25">
        <f t="shared" si="1"/>
        <v>7600</v>
      </c>
      <c r="N24" s="29"/>
      <c r="O24" s="22" t="s">
        <v>29</v>
      </c>
      <c r="Q24" s="8" t="s">
        <v>84</v>
      </c>
      <c r="R24" s="8">
        <v>43800</v>
      </c>
      <c r="S24" s="8" t="s">
        <v>179</v>
      </c>
    </row>
    <row r="25" spans="1:19" x14ac:dyDescent="0.2">
      <c r="A25" s="30" t="s">
        <v>85</v>
      </c>
      <c r="B25" s="9" t="s">
        <v>86</v>
      </c>
      <c r="C25" s="20" t="s">
        <v>87</v>
      </c>
      <c r="D25" s="21"/>
      <c r="E25" s="21">
        <v>7000</v>
      </c>
      <c r="F25" s="21">
        <f>SEP!M25</f>
        <v>1100</v>
      </c>
      <c r="G25" s="21">
        <v>100</v>
      </c>
      <c r="H25" s="21"/>
      <c r="I25" s="21">
        <f t="shared" si="0"/>
        <v>8200</v>
      </c>
      <c r="J25" s="59"/>
      <c r="K25" s="60"/>
      <c r="L25" s="61" t="s">
        <v>293</v>
      </c>
      <c r="M25" s="25">
        <f t="shared" si="1"/>
        <v>8200</v>
      </c>
      <c r="N25" s="29"/>
      <c r="O25" s="22" t="s">
        <v>29</v>
      </c>
      <c r="R25" s="31">
        <f>SUM(R10:R24)</f>
        <v>1054268</v>
      </c>
      <c r="S25" s="8" t="s">
        <v>179</v>
      </c>
    </row>
    <row r="26" spans="1:19" x14ac:dyDescent="0.2">
      <c r="A26" s="30" t="s">
        <v>88</v>
      </c>
      <c r="B26" s="9" t="s">
        <v>280</v>
      </c>
      <c r="C26" s="20" t="s">
        <v>274</v>
      </c>
      <c r="D26" s="21"/>
      <c r="E26" s="21">
        <v>10000</v>
      </c>
      <c r="F26" s="21">
        <f>SEP!M26</f>
        <v>5000</v>
      </c>
      <c r="G26" s="21"/>
      <c r="H26" s="21"/>
      <c r="I26" s="21">
        <f t="shared" si="0"/>
        <v>15000</v>
      </c>
      <c r="J26" s="59"/>
      <c r="K26" s="62"/>
      <c r="L26" s="61" t="s">
        <v>293</v>
      </c>
      <c r="M26" s="25">
        <f t="shared" si="1"/>
        <v>15000</v>
      </c>
      <c r="N26" s="29"/>
      <c r="O26" s="22" t="s">
        <v>29</v>
      </c>
      <c r="S26" s="8" t="s">
        <v>179</v>
      </c>
    </row>
    <row r="27" spans="1:19" x14ac:dyDescent="0.2">
      <c r="A27" s="30" t="s">
        <v>91</v>
      </c>
      <c r="B27" s="9" t="s">
        <v>92</v>
      </c>
      <c r="C27" s="15" t="s">
        <v>11</v>
      </c>
      <c r="D27" s="21"/>
      <c r="E27" s="21"/>
      <c r="F27" s="21">
        <f>SEP!M27</f>
        <v>0</v>
      </c>
      <c r="G27" s="21"/>
      <c r="H27" s="21"/>
      <c r="I27" s="21">
        <f t="shared" si="0"/>
        <v>0</v>
      </c>
      <c r="J27" s="59"/>
      <c r="K27" s="62"/>
      <c r="L27" s="61" t="s">
        <v>293</v>
      </c>
      <c r="M27" s="25">
        <f t="shared" si="1"/>
        <v>0</v>
      </c>
      <c r="N27" s="26"/>
      <c r="O27" s="22" t="s">
        <v>29</v>
      </c>
    </row>
    <row r="28" spans="1:19" ht="15" x14ac:dyDescent="0.25">
      <c r="A28" s="32" t="s">
        <v>93</v>
      </c>
      <c r="B28" s="22"/>
      <c r="C28" s="33"/>
      <c r="D28" s="34">
        <f t="shared" ref="D28:E28" si="2">SUM(D10:D27)</f>
        <v>0</v>
      </c>
      <c r="E28" s="34">
        <f t="shared" si="2"/>
        <v>126000</v>
      </c>
      <c r="F28" s="34">
        <f>SUM(F10:F27)</f>
        <v>24500</v>
      </c>
      <c r="G28" s="34">
        <f>SUM(G10:G27)</f>
        <v>1400</v>
      </c>
      <c r="H28" s="35">
        <f>SUM(H10:H27)</f>
        <v>0</v>
      </c>
      <c r="I28" s="34">
        <f>SUM(I10:I27)</f>
        <v>151900</v>
      </c>
      <c r="J28" s="34">
        <f>SUM(J10:J27)</f>
        <v>8000</v>
      </c>
      <c r="K28" s="36"/>
      <c r="L28" s="24"/>
      <c r="M28" s="37">
        <f>SUM(M10:M27)</f>
        <v>143900</v>
      </c>
      <c r="N28" s="4"/>
      <c r="O28" s="7"/>
    </row>
    <row r="29" spans="1:19" ht="15" x14ac:dyDescent="0.25">
      <c r="A29" s="32"/>
      <c r="B29" s="22"/>
      <c r="C29" s="33"/>
      <c r="D29" s="34"/>
      <c r="E29" s="34"/>
      <c r="F29" s="34"/>
      <c r="G29" s="34"/>
      <c r="H29" s="35"/>
      <c r="I29" s="34"/>
      <c r="J29" s="34"/>
      <c r="K29" s="36"/>
      <c r="L29" s="24"/>
      <c r="M29" s="37"/>
      <c r="N29" s="4"/>
      <c r="O29" s="7"/>
    </row>
    <row r="30" spans="1:19" ht="15" x14ac:dyDescent="0.25">
      <c r="A30" s="13" t="s">
        <v>94</v>
      </c>
      <c r="B30" s="3"/>
      <c r="C30" s="10"/>
      <c r="D30" s="14"/>
      <c r="E30" s="14"/>
      <c r="F30" s="14"/>
      <c r="G30" s="14"/>
      <c r="H30" s="14"/>
      <c r="I30" s="14"/>
      <c r="J30" s="38">
        <f>8%*(J28-H28-G28-D28)</f>
        <v>528</v>
      </c>
      <c r="K30" s="12"/>
      <c r="L30" s="14" t="s">
        <v>6</v>
      </c>
      <c r="M30" s="25"/>
      <c r="N30" s="11"/>
      <c r="O30" s="7"/>
    </row>
    <row r="31" spans="1:19" ht="15" x14ac:dyDescent="0.25">
      <c r="A31" s="13" t="s">
        <v>95</v>
      </c>
      <c r="B31" s="3"/>
      <c r="C31" s="10"/>
      <c r="D31" s="14"/>
      <c r="E31" s="14"/>
      <c r="F31" s="14"/>
      <c r="G31" s="14"/>
      <c r="H31" s="14"/>
      <c r="I31" s="14"/>
      <c r="J31" s="38"/>
      <c r="K31" s="12"/>
      <c r="L31" s="14"/>
      <c r="M31" s="25"/>
      <c r="N31" s="11"/>
      <c r="O31" s="7"/>
    </row>
    <row r="32" spans="1:19" ht="15" x14ac:dyDescent="0.25">
      <c r="A32" s="13" t="s">
        <v>149</v>
      </c>
      <c r="B32" s="3"/>
      <c r="C32" s="10"/>
      <c r="D32" s="14"/>
      <c r="E32" s="14"/>
      <c r="F32" s="14"/>
      <c r="G32" s="14" t="s">
        <v>96</v>
      </c>
      <c r="H32" s="14"/>
      <c r="I32" s="14"/>
      <c r="J32" s="38"/>
      <c r="K32" s="12"/>
      <c r="L32" s="14"/>
      <c r="M32" s="25"/>
      <c r="N32" s="11"/>
      <c r="O32" s="7"/>
    </row>
    <row r="33" spans="1:15" ht="15" x14ac:dyDescent="0.25">
      <c r="A33" s="13" t="s">
        <v>97</v>
      </c>
      <c r="B33" s="3"/>
      <c r="C33" s="10"/>
      <c r="D33" s="14"/>
      <c r="E33" s="14"/>
      <c r="F33" s="14"/>
      <c r="G33" s="14"/>
      <c r="H33" s="14"/>
      <c r="I33" s="14"/>
      <c r="J33" s="38"/>
      <c r="K33" s="12"/>
      <c r="L33" s="14"/>
      <c r="M33" s="25">
        <f>8%*M32</f>
        <v>0</v>
      </c>
      <c r="N33" s="11"/>
      <c r="O33" s="7"/>
    </row>
    <row r="34" spans="1:15" ht="15" x14ac:dyDescent="0.25">
      <c r="A34" s="13" t="s">
        <v>122</v>
      </c>
      <c r="B34" s="3"/>
      <c r="C34" s="10"/>
      <c r="D34" s="14"/>
      <c r="E34" s="14"/>
      <c r="F34" s="14"/>
      <c r="G34" s="14"/>
      <c r="H34" s="14"/>
      <c r="I34" s="14"/>
      <c r="J34" s="38"/>
      <c r="K34" s="12"/>
      <c r="L34" s="14"/>
      <c r="M34" s="25"/>
      <c r="N34" s="11"/>
      <c r="O34" s="7"/>
    </row>
    <row r="35" spans="1:15" ht="15" x14ac:dyDescent="0.25">
      <c r="A35" s="13" t="s">
        <v>98</v>
      </c>
      <c r="B35" s="10"/>
      <c r="C35" s="10"/>
      <c r="D35" s="14"/>
      <c r="E35" s="14"/>
      <c r="F35" s="14"/>
      <c r="G35" s="14"/>
      <c r="H35" s="14"/>
      <c r="I35" s="14"/>
      <c r="J35" s="39">
        <f>SUM(J30:J34)</f>
        <v>528</v>
      </c>
      <c r="K35" s="12"/>
      <c r="L35" s="14"/>
      <c r="M35" s="25"/>
      <c r="N35" s="11"/>
      <c r="O35" s="7"/>
    </row>
    <row r="36" spans="1:15" ht="15" x14ac:dyDescent="0.25">
      <c r="A36" s="13"/>
      <c r="B36" s="10"/>
      <c r="C36" s="10"/>
      <c r="D36" s="14"/>
      <c r="E36" s="14"/>
      <c r="F36" s="14"/>
      <c r="G36" s="14"/>
      <c r="H36" s="14"/>
      <c r="I36" s="14"/>
      <c r="J36" s="39"/>
      <c r="K36" s="12">
        <v>0</v>
      </c>
      <c r="L36" s="14"/>
      <c r="M36" s="25"/>
      <c r="N36" s="11"/>
      <c r="O36" s="7"/>
    </row>
    <row r="37" spans="1:15" ht="15" x14ac:dyDescent="0.25">
      <c r="A37" s="13" t="s">
        <v>99</v>
      </c>
      <c r="B37" s="10"/>
      <c r="C37" s="10"/>
      <c r="D37" s="14"/>
      <c r="E37" s="14" t="s">
        <v>96</v>
      </c>
      <c r="F37" s="14"/>
      <c r="G37" s="14"/>
      <c r="H37" s="14"/>
      <c r="I37" s="14"/>
      <c r="J37" s="39">
        <f>SEP!M40</f>
        <v>28217</v>
      </c>
      <c r="K37" s="12"/>
      <c r="L37" s="14"/>
      <c r="M37" s="25"/>
      <c r="N37" s="11"/>
      <c r="O37" s="7"/>
    </row>
    <row r="38" spans="1:15" ht="15" x14ac:dyDescent="0.25">
      <c r="A38" s="9"/>
      <c r="B38" s="10"/>
      <c r="C38" s="10"/>
      <c r="D38" s="14"/>
      <c r="E38" s="14"/>
      <c r="F38" s="14"/>
      <c r="G38" s="14"/>
      <c r="H38" s="14"/>
      <c r="I38" s="14"/>
      <c r="J38" s="14"/>
      <c r="K38" s="40" t="s">
        <v>100</v>
      </c>
      <c r="L38" s="41" t="s">
        <v>100</v>
      </c>
      <c r="M38" s="42" t="s">
        <v>101</v>
      </c>
      <c r="O38" s="7"/>
    </row>
    <row r="39" spans="1:15" ht="15" x14ac:dyDescent="0.25">
      <c r="A39" s="43" t="s">
        <v>102</v>
      </c>
      <c r="B39" s="33"/>
      <c r="C39" s="33"/>
      <c r="D39" s="34"/>
      <c r="E39" s="34"/>
      <c r="F39" s="34"/>
      <c r="G39" s="34"/>
      <c r="H39" s="34"/>
      <c r="I39" s="34"/>
      <c r="J39" s="34">
        <f>J28-J35+J37</f>
        <v>35689</v>
      </c>
      <c r="K39" s="44"/>
      <c r="L39" s="45"/>
      <c r="M39" s="46">
        <f>J39-K39-L39</f>
        <v>35689</v>
      </c>
      <c r="O39" s="7"/>
    </row>
    <row r="40" spans="1:15" ht="15" x14ac:dyDescent="0.25">
      <c r="A40" s="47"/>
      <c r="B40" s="48"/>
      <c r="C40" s="48"/>
      <c r="D40" s="49"/>
      <c r="E40" s="49"/>
      <c r="F40" s="49"/>
      <c r="G40" s="49"/>
      <c r="H40" s="49"/>
      <c r="I40" s="49"/>
      <c r="J40" s="49"/>
      <c r="K40" s="50"/>
      <c r="L40" s="49"/>
      <c r="M40" s="49" t="s">
        <v>96</v>
      </c>
      <c r="N40" s="11"/>
      <c r="O40" s="7"/>
    </row>
    <row r="41" spans="1:15" ht="15" x14ac:dyDescent="0.25">
      <c r="A41" s="12" t="s">
        <v>103</v>
      </c>
      <c r="B41" s="10"/>
      <c r="C41" s="10"/>
      <c r="D41" s="11"/>
      <c r="E41" s="11"/>
      <c r="F41" s="11"/>
      <c r="G41" s="11"/>
      <c r="H41" s="11"/>
      <c r="I41" s="11"/>
      <c r="J41" s="11"/>
      <c r="K41" s="51"/>
      <c r="L41" s="11"/>
      <c r="M41" s="52">
        <v>46326</v>
      </c>
      <c r="N41" s="11"/>
      <c r="O41" s="7"/>
    </row>
    <row r="42" spans="1:15" ht="15" x14ac:dyDescent="0.25">
      <c r="A42" s="9"/>
      <c r="B42" s="10"/>
      <c r="C42" s="10"/>
      <c r="D42" s="11"/>
      <c r="E42" s="11"/>
      <c r="F42" s="11"/>
      <c r="G42" s="11"/>
      <c r="H42" s="11"/>
      <c r="I42" s="11"/>
      <c r="J42" s="11"/>
      <c r="K42" s="12"/>
      <c r="L42" s="11"/>
      <c r="M42" s="53"/>
      <c r="N42" s="11"/>
      <c r="O42" s="7"/>
    </row>
    <row r="45" spans="1:15" x14ac:dyDescent="0.2">
      <c r="F45" s="54"/>
      <c r="G45" s="54"/>
      <c r="H45" s="54"/>
    </row>
    <row r="46" spans="1:15" x14ac:dyDescent="0.2">
      <c r="F46" s="54"/>
      <c r="G46" s="54"/>
      <c r="H46" s="54"/>
      <c r="J46" s="55"/>
      <c r="K46" s="55"/>
      <c r="M46" s="8">
        <f>24740-12300-1700</f>
        <v>10740</v>
      </c>
    </row>
    <row r="49" spans="10:13" x14ac:dyDescent="0.2">
      <c r="J49" s="56">
        <f>J28/I28*100</f>
        <v>5.2666227781435158</v>
      </c>
    </row>
    <row r="51" spans="10:13" x14ac:dyDescent="0.2">
      <c r="J51" s="55"/>
    </row>
    <row r="54" spans="10:13" x14ac:dyDescent="0.2">
      <c r="M54" s="55"/>
    </row>
  </sheetData>
  <mergeCells count="1">
    <mergeCell ref="A3:M3"/>
  </mergeCells>
  <pageMargins left="0.25" right="0.25" top="0.75" bottom="0.75" header="0.3" footer="0.3"/>
  <pageSetup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PC</cp:lastModifiedBy>
  <cp:lastPrinted>2026-10-01T20:59:05Z</cp:lastPrinted>
  <dcterms:created xsi:type="dcterms:W3CDTF">2026-01-03T13:29:21Z</dcterms:created>
  <dcterms:modified xsi:type="dcterms:W3CDTF">2026-10-04T13:44:51Z</dcterms:modified>
</cp:coreProperties>
</file>
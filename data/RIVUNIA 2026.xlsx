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4013377bf6ed3a/LOBBY LINKED/LOBBY 2026/LANDLORD ACCOUNT(2026)/ARMSTRONG/"/>
    </mc:Choice>
  </mc:AlternateContent>
  <xr:revisionPtr revIDLastSave="0" documentId="8_{F3BDD73C-8A0A-45D6-B740-4CFBF099D26C}" xr6:coauthVersionLast="40" xr6:coauthVersionMax="40" xr10:uidLastSave="{00000000-0000-0000-0000-000000000000}"/>
  <bookViews>
    <workbookView xWindow="-105" yWindow="-105" windowWidth="23250" windowHeight="13890" firstSheet="5" activeTab="6" xr2:uid="{0C76A193-A968-4CE0-8732-2B07CF77B94B}"/>
  </bookViews>
  <sheets>
    <sheet name="FEB" sheetId="1" r:id="rId1"/>
    <sheet name="MARCH" sheetId="2" r:id="rId2"/>
    <sheet name="APR" sheetId="3" r:id="rId3"/>
    <sheet name="MAY" sheetId="4" r:id="rId4"/>
    <sheet name="JUNE" sheetId="5" r:id="rId5"/>
    <sheet name="JULY" sheetId="6" r:id="rId6"/>
    <sheet name="AUGUST" sheetId="7" r:id="rId7"/>
    <sheet name="SEPTEMBER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" i="8" l="1"/>
  <c r="I37" i="8"/>
  <c r="J45" i="8" l="1"/>
  <c r="J13" i="8" l="1"/>
  <c r="J22" i="8" l="1"/>
  <c r="J20" i="8" l="1"/>
  <c r="J49" i="8" l="1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8" i="8"/>
  <c r="I39" i="8"/>
  <c r="I40" i="8"/>
  <c r="I41" i="8"/>
  <c r="I42" i="8"/>
  <c r="I43" i="8"/>
  <c r="I44" i="8"/>
  <c r="I46" i="8"/>
  <c r="I47" i="8"/>
  <c r="I48" i="8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6" i="7"/>
  <c r="I47" i="7"/>
  <c r="I48" i="7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3"/>
  <c r="I48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10" i="3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10" i="2"/>
  <c r="I49" i="2"/>
  <c r="I5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J49" i="7"/>
  <c r="J10" i="8"/>
  <c r="J26" i="8" l="1"/>
  <c r="J38" i="8" l="1"/>
  <c r="J35" i="8" l="1"/>
  <c r="J11" i="8"/>
  <c r="J18" i="8"/>
  <c r="J43" i="8"/>
  <c r="J27" i="8"/>
  <c r="J29" i="8"/>
  <c r="J40" i="8"/>
  <c r="J47" i="8"/>
  <c r="J39" i="8"/>
  <c r="J16" i="8"/>
  <c r="J30" i="8"/>
  <c r="J21" i="8" l="1"/>
  <c r="J12" i="8" l="1"/>
  <c r="J32" i="8" l="1"/>
  <c r="J31" i="8" l="1"/>
  <c r="J11" i="7" l="1"/>
  <c r="J10" i="7" l="1"/>
  <c r="J34" i="7" l="1"/>
  <c r="G49" i="8" l="1"/>
  <c r="F49" i="8"/>
  <c r="E49" i="8"/>
  <c r="D49" i="8"/>
  <c r="J23" i="7"/>
  <c r="J52" i="8" l="1"/>
  <c r="J53" i="8" s="1"/>
  <c r="J46" i="7"/>
  <c r="J37" i="7" l="1"/>
  <c r="J22" i="7" l="1"/>
  <c r="J19" i="7" l="1"/>
  <c r="J26" i="7" l="1"/>
  <c r="J31" i="7" l="1"/>
  <c r="J18" i="7" l="1"/>
  <c r="J34" i="6" l="1"/>
  <c r="J34" i="2"/>
  <c r="J29" i="7" l="1"/>
  <c r="J12" i="7"/>
  <c r="J21" i="7"/>
  <c r="J35" i="7" l="1"/>
  <c r="J43" i="6" l="1"/>
  <c r="J38" i="7" l="1"/>
  <c r="J32" i="7"/>
  <c r="J43" i="7" l="1"/>
  <c r="J15" i="7" l="1"/>
  <c r="J40" i="7" l="1"/>
  <c r="J30" i="7" l="1"/>
  <c r="J45" i="7" l="1"/>
  <c r="J39" i="7"/>
  <c r="J44" i="7" l="1"/>
  <c r="J42" i="7"/>
  <c r="J27" i="7"/>
  <c r="F49" i="7" l="1"/>
  <c r="J13" i="7"/>
  <c r="J28" i="7"/>
  <c r="J16" i="7"/>
  <c r="J47" i="7"/>
  <c r="J20" i="7"/>
  <c r="J23" i="6"/>
  <c r="J24" i="1"/>
  <c r="J41" i="7"/>
  <c r="J48" i="6"/>
  <c r="J24" i="6"/>
  <c r="J11" i="6"/>
  <c r="J42" i="6"/>
  <c r="G49" i="7"/>
  <c r="E49" i="7"/>
  <c r="D49" i="7"/>
  <c r="N15" i="7"/>
  <c r="H15" i="8" s="1"/>
  <c r="J17" i="6"/>
  <c r="J45" i="6"/>
  <c r="J46" i="6"/>
  <c r="J37" i="6"/>
  <c r="J10" i="6"/>
  <c r="J20" i="6"/>
  <c r="J27" i="6"/>
  <c r="J36" i="6"/>
  <c r="J40" i="6"/>
  <c r="J30" i="6"/>
  <c r="F49" i="6"/>
  <c r="G49" i="6"/>
  <c r="E49" i="6"/>
  <c r="D49" i="6"/>
  <c r="H12" i="1"/>
  <c r="H50" i="1" s="1"/>
  <c r="J24" i="5"/>
  <c r="J49" i="5" s="1"/>
  <c r="J52" i="5" s="1"/>
  <c r="J53" i="5" s="1"/>
  <c r="K56" i="5"/>
  <c r="J11" i="4"/>
  <c r="J29" i="5"/>
  <c r="F49" i="5"/>
  <c r="H32" i="5"/>
  <c r="N32" i="5" s="1"/>
  <c r="H32" i="6" s="1"/>
  <c r="G49" i="5"/>
  <c r="E49" i="5"/>
  <c r="D49" i="5"/>
  <c r="J14" i="4"/>
  <c r="J24" i="4"/>
  <c r="J32" i="4"/>
  <c r="N15" i="1"/>
  <c r="J14" i="2"/>
  <c r="J49" i="3"/>
  <c r="J52" i="3" s="1"/>
  <c r="J54" i="3" s="1"/>
  <c r="F49" i="4"/>
  <c r="J48" i="4"/>
  <c r="J53" i="3"/>
  <c r="J11" i="2"/>
  <c r="J12" i="2"/>
  <c r="J13" i="2"/>
  <c r="J15" i="2"/>
  <c r="J48" i="2"/>
  <c r="J47" i="2"/>
  <c r="J46" i="2"/>
  <c r="J44" i="2"/>
  <c r="J43" i="2"/>
  <c r="J42" i="2"/>
  <c r="J41" i="2"/>
  <c r="J40" i="2"/>
  <c r="J39" i="2"/>
  <c r="J38" i="2"/>
  <c r="J37" i="2"/>
  <c r="J36" i="2"/>
  <c r="J35" i="2"/>
  <c r="J33" i="2"/>
  <c r="J32" i="2"/>
  <c r="J31" i="2"/>
  <c r="J30" i="2"/>
  <c r="J29" i="2"/>
  <c r="J28" i="2"/>
  <c r="J27" i="2"/>
  <c r="J26" i="2"/>
  <c r="J24" i="2"/>
  <c r="J23" i="2"/>
  <c r="J22" i="2"/>
  <c r="J21" i="2"/>
  <c r="J20" i="2"/>
  <c r="J19" i="2"/>
  <c r="J18" i="2"/>
  <c r="J17" i="2"/>
  <c r="J16" i="2"/>
  <c r="G49" i="4"/>
  <c r="E49" i="4"/>
  <c r="D49" i="4"/>
  <c r="G49" i="3"/>
  <c r="E49" i="3"/>
  <c r="D49" i="3"/>
  <c r="D49" i="2"/>
  <c r="E49" i="2"/>
  <c r="G49" i="2"/>
  <c r="J11" i="1"/>
  <c r="J12" i="1"/>
  <c r="J13" i="1"/>
  <c r="N13" i="1" s="1"/>
  <c r="H12" i="2" s="1"/>
  <c r="N12" i="2" s="1"/>
  <c r="H12" i="3" s="1"/>
  <c r="N12" i="3" s="1"/>
  <c r="J14" i="1"/>
  <c r="N14" i="4"/>
  <c r="H14" i="5" s="1"/>
  <c r="I10" i="1"/>
  <c r="N10" i="1" s="1"/>
  <c r="N16" i="1"/>
  <c r="H15" i="2" s="1"/>
  <c r="N15" i="2" s="1"/>
  <c r="H15" i="3" s="1"/>
  <c r="N15" i="3" s="1"/>
  <c r="H15" i="4" s="1"/>
  <c r="N15" i="4" s="1"/>
  <c r="H15" i="5" s="1"/>
  <c r="N17" i="1"/>
  <c r="H16" i="2" s="1"/>
  <c r="N16" i="2" s="1"/>
  <c r="H16" i="3" s="1"/>
  <c r="N16" i="3" s="1"/>
  <c r="H16" i="4" s="1"/>
  <c r="N16" i="4" s="1"/>
  <c r="H16" i="5" s="1"/>
  <c r="J17" i="1"/>
  <c r="N18" i="1"/>
  <c r="H17" i="2" s="1"/>
  <c r="N17" i="2" s="1"/>
  <c r="H17" i="3" s="1"/>
  <c r="N17" i="3" s="1"/>
  <c r="H17" i="4" s="1"/>
  <c r="N17" i="4" s="1"/>
  <c r="H17" i="5" s="1"/>
  <c r="N12" i="4"/>
  <c r="H12" i="5" s="1"/>
  <c r="N12" i="5" s="1"/>
  <c r="H12" i="6" s="1"/>
  <c r="J19" i="1"/>
  <c r="J20" i="1"/>
  <c r="J49" i="1"/>
  <c r="N49" i="1" s="1"/>
  <c r="H48" i="2" s="1"/>
  <c r="N48" i="2" s="1"/>
  <c r="H48" i="3" s="1"/>
  <c r="N48" i="3" s="1"/>
  <c r="H48" i="4" s="1"/>
  <c r="N48" i="1"/>
  <c r="H47" i="2" s="1"/>
  <c r="N47" i="2" s="1"/>
  <c r="H47" i="3" s="1"/>
  <c r="N47" i="3" s="1"/>
  <c r="H47" i="4" s="1"/>
  <c r="N47" i="4" s="1"/>
  <c r="H47" i="5" s="1"/>
  <c r="N47" i="1"/>
  <c r="H46" i="2" s="1"/>
  <c r="N46" i="2" s="1"/>
  <c r="H46" i="3" s="1"/>
  <c r="N46" i="3" s="1"/>
  <c r="H46" i="4" s="1"/>
  <c r="N46" i="4" s="1"/>
  <c r="H46" i="5" s="1"/>
  <c r="J47" i="1"/>
  <c r="J46" i="1"/>
  <c r="N46" i="1" s="1"/>
  <c r="H45" i="2" s="1"/>
  <c r="N45" i="2" s="1"/>
  <c r="H45" i="3" s="1"/>
  <c r="N45" i="3" s="1"/>
  <c r="H45" i="4" s="1"/>
  <c r="N45" i="4" s="1"/>
  <c r="H45" i="5" s="1"/>
  <c r="J45" i="1"/>
  <c r="N44" i="1"/>
  <c r="H43" i="2" s="1"/>
  <c r="N43" i="2" s="1"/>
  <c r="H43" i="3" s="1"/>
  <c r="N43" i="3" s="1"/>
  <c r="H43" i="4" s="1"/>
  <c r="N43" i="4" s="1"/>
  <c r="H43" i="5" s="1"/>
  <c r="J43" i="1"/>
  <c r="J42" i="1"/>
  <c r="N42" i="1" s="1"/>
  <c r="H41" i="2" s="1"/>
  <c r="J41" i="1"/>
  <c r="N40" i="1"/>
  <c r="H39" i="2" s="1"/>
  <c r="N39" i="2" s="1"/>
  <c r="H39" i="3" s="1"/>
  <c r="N39" i="3" s="1"/>
  <c r="H39" i="4" s="1"/>
  <c r="N39" i="4" s="1"/>
  <c r="N39" i="1"/>
  <c r="H38" i="2" s="1"/>
  <c r="J38" i="1"/>
  <c r="N37" i="1"/>
  <c r="H36" i="2" s="1"/>
  <c r="N36" i="2"/>
  <c r="H36" i="3" s="1"/>
  <c r="N36" i="3" s="1"/>
  <c r="H36" i="4" s="1"/>
  <c r="N36" i="4" s="1"/>
  <c r="H36" i="5" s="1"/>
  <c r="J37" i="1"/>
  <c r="N36" i="1"/>
  <c r="H35" i="2" s="1"/>
  <c r="N35" i="2" s="1"/>
  <c r="H35" i="3" s="1"/>
  <c r="N35" i="3" s="1"/>
  <c r="H35" i="4" s="1"/>
  <c r="N35" i="4" s="1"/>
  <c r="H35" i="5" s="1"/>
  <c r="N35" i="1"/>
  <c r="H34" i="2" s="1"/>
  <c r="N34" i="2" s="1"/>
  <c r="H34" i="3" s="1"/>
  <c r="N34" i="3" s="1"/>
  <c r="H34" i="4" s="1"/>
  <c r="N34" i="4" s="1"/>
  <c r="H34" i="5" s="1"/>
  <c r="J35" i="1"/>
  <c r="J34" i="1"/>
  <c r="N31" i="3"/>
  <c r="H31" i="4" s="1"/>
  <c r="N31" i="4" s="1"/>
  <c r="H31" i="5" s="1"/>
  <c r="N31" i="6"/>
  <c r="H31" i="7" s="1"/>
  <c r="N31" i="7" s="1"/>
  <c r="H31" i="8" s="1"/>
  <c r="N31" i="8" s="1"/>
  <c r="J31" i="1"/>
  <c r="N29" i="4"/>
  <c r="H29" i="5" s="1"/>
  <c r="J29" i="1"/>
  <c r="J28" i="1"/>
  <c r="N26" i="2"/>
  <c r="H26" i="3" s="1"/>
  <c r="N26" i="3" s="1"/>
  <c r="H26" i="4" s="1"/>
  <c r="N26" i="4" s="1"/>
  <c r="N26" i="5"/>
  <c r="H26" i="6" s="1"/>
  <c r="N26" i="1"/>
  <c r="H25" i="2" s="1"/>
  <c r="N25" i="2" s="1"/>
  <c r="H25" i="3" s="1"/>
  <c r="N25" i="3" s="1"/>
  <c r="N25" i="4"/>
  <c r="H25" i="5" s="1"/>
  <c r="J25" i="1"/>
  <c r="J23" i="1"/>
  <c r="J22" i="1"/>
  <c r="N21" i="1"/>
  <c r="H20" i="2" s="1"/>
  <c r="N27" i="1"/>
  <c r="J30" i="1"/>
  <c r="J32" i="1"/>
  <c r="N33" i="1"/>
  <c r="H32" i="2" s="1"/>
  <c r="D50" i="1"/>
  <c r="E50" i="1"/>
  <c r="J53" i="1" s="1"/>
  <c r="J54" i="1" s="1"/>
  <c r="F50" i="1"/>
  <c r="G50" i="1"/>
  <c r="J56" i="1"/>
  <c r="N39" i="5"/>
  <c r="H39" i="6" s="1"/>
  <c r="N45" i="5"/>
  <c r="H45" i="6" s="1"/>
  <c r="N45" i="6" s="1"/>
  <c r="H45" i="7" s="1"/>
  <c r="N11" i="1"/>
  <c r="H10" i="2" s="1"/>
  <c r="N10" i="2"/>
  <c r="H10" i="3" s="1"/>
  <c r="N23" i="7"/>
  <c r="H23" i="8" s="1"/>
  <c r="N15" i="6"/>
  <c r="N19" i="1"/>
  <c r="H18" i="2" s="1"/>
  <c r="N18" i="2" s="1"/>
  <c r="H18" i="3" s="1"/>
  <c r="N18" i="3" s="1"/>
  <c r="H18" i="4" s="1"/>
  <c r="N18" i="4" s="1"/>
  <c r="H18" i="5" s="1"/>
  <c r="H28" i="6"/>
  <c r="N28" i="6"/>
  <c r="H28" i="7" s="1"/>
  <c r="I45" i="7" l="1"/>
  <c r="N45" i="7" s="1"/>
  <c r="H45" i="8" s="1"/>
  <c r="I45" i="8" s="1"/>
  <c r="I49" i="8" s="1"/>
  <c r="N23" i="8"/>
  <c r="N15" i="8"/>
  <c r="N28" i="7"/>
  <c r="H28" i="8" s="1"/>
  <c r="N25" i="5"/>
  <c r="H25" i="6" s="1"/>
  <c r="N25" i="6" s="1"/>
  <c r="H25" i="7" s="1"/>
  <c r="N25" i="7" s="1"/>
  <c r="H25" i="8" s="1"/>
  <c r="N25" i="8" s="1"/>
  <c r="N14" i="5"/>
  <c r="H14" i="6" s="1"/>
  <c r="N14" i="6" s="1"/>
  <c r="H14" i="7" s="1"/>
  <c r="N14" i="7" s="1"/>
  <c r="H14" i="8" s="1"/>
  <c r="N31" i="5"/>
  <c r="N17" i="5"/>
  <c r="H17" i="6" s="1"/>
  <c r="N17" i="6" s="1"/>
  <c r="H17" i="7" s="1"/>
  <c r="N18" i="5"/>
  <c r="H18" i="6" s="1"/>
  <c r="N18" i="6" s="1"/>
  <c r="H18" i="7" s="1"/>
  <c r="N35" i="5"/>
  <c r="H35" i="6" s="1"/>
  <c r="N35" i="6" s="1"/>
  <c r="H35" i="7" s="1"/>
  <c r="N34" i="5"/>
  <c r="H34" i="6" s="1"/>
  <c r="N34" i="6" s="1"/>
  <c r="H34" i="7" s="1"/>
  <c r="N36" i="5"/>
  <c r="H36" i="6" s="1"/>
  <c r="N36" i="6" s="1"/>
  <c r="H36" i="7" s="1"/>
  <c r="N43" i="5"/>
  <c r="H43" i="6" s="1"/>
  <c r="N43" i="6" s="1"/>
  <c r="H43" i="7" s="1"/>
  <c r="N46" i="5"/>
  <c r="H46" i="6" s="1"/>
  <c r="N46" i="6" s="1"/>
  <c r="H46" i="7" s="1"/>
  <c r="N47" i="5"/>
  <c r="H47" i="6" s="1"/>
  <c r="N47" i="6" s="1"/>
  <c r="H47" i="7" s="1"/>
  <c r="N16" i="5"/>
  <c r="H16" i="6" s="1"/>
  <c r="N16" i="6" s="1"/>
  <c r="H16" i="7" s="1"/>
  <c r="N15" i="5"/>
  <c r="N26" i="6"/>
  <c r="H26" i="7" s="1"/>
  <c r="N39" i="6"/>
  <c r="H39" i="7" s="1"/>
  <c r="N32" i="6"/>
  <c r="H32" i="7" s="1"/>
  <c r="N14" i="1"/>
  <c r="H13" i="2" s="1"/>
  <c r="N13" i="2" s="1"/>
  <c r="H13" i="3" s="1"/>
  <c r="N13" i="3" s="1"/>
  <c r="H13" i="4" s="1"/>
  <c r="N13" i="4" s="1"/>
  <c r="H13" i="5" s="1"/>
  <c r="N32" i="2"/>
  <c r="H32" i="3" s="1"/>
  <c r="N32" i="3" s="1"/>
  <c r="N25" i="1"/>
  <c r="H24" i="2" s="1"/>
  <c r="N32" i="1"/>
  <c r="H31" i="2" s="1"/>
  <c r="N31" i="2" s="1"/>
  <c r="H31" i="3" s="1"/>
  <c r="N29" i="1"/>
  <c r="H28" i="2" s="1"/>
  <c r="N28" i="2" s="1"/>
  <c r="H28" i="3" s="1"/>
  <c r="N28" i="3" s="1"/>
  <c r="H28" i="4" s="1"/>
  <c r="N28" i="4" s="1"/>
  <c r="H28" i="5" s="1"/>
  <c r="N11" i="6"/>
  <c r="H11" i="7" s="1"/>
  <c r="J57" i="1"/>
  <c r="N57" i="1" s="1"/>
  <c r="J55" i="2" s="1"/>
  <c r="N48" i="4"/>
  <c r="H48" i="5" s="1"/>
  <c r="N48" i="5" s="1"/>
  <c r="H48" i="6" s="1"/>
  <c r="N22" i="1"/>
  <c r="H21" i="2" s="1"/>
  <c r="N21" i="2" s="1"/>
  <c r="H21" i="3" s="1"/>
  <c r="N21" i="3" s="1"/>
  <c r="H21" i="4" s="1"/>
  <c r="N21" i="4" s="1"/>
  <c r="H21" i="5" s="1"/>
  <c r="N28" i="1"/>
  <c r="H27" i="2" s="1"/>
  <c r="N27" i="2" s="1"/>
  <c r="H27" i="3" s="1"/>
  <c r="N27" i="3" s="1"/>
  <c r="H27" i="4" s="1"/>
  <c r="N27" i="4" s="1"/>
  <c r="H27" i="5" s="1"/>
  <c r="N29" i="5"/>
  <c r="H29" i="6" s="1"/>
  <c r="J49" i="2"/>
  <c r="J52" i="2" s="1"/>
  <c r="J53" i="2" s="1"/>
  <c r="J49" i="4"/>
  <c r="J52" i="4" s="1"/>
  <c r="J54" i="4" s="1"/>
  <c r="J52" i="7"/>
  <c r="J53" i="7" s="1"/>
  <c r="N24" i="1"/>
  <c r="H23" i="2" s="1"/>
  <c r="N23" i="2" s="1"/>
  <c r="H23" i="3" s="1"/>
  <c r="N23" i="3" s="1"/>
  <c r="H23" i="4" s="1"/>
  <c r="N23" i="4" s="1"/>
  <c r="H23" i="5" s="1"/>
  <c r="N12" i="1"/>
  <c r="H11" i="2" s="1"/>
  <c r="N11" i="2" s="1"/>
  <c r="H11" i="3" s="1"/>
  <c r="N11" i="3" s="1"/>
  <c r="H11" i="4" s="1"/>
  <c r="N11" i="4" s="1"/>
  <c r="H11" i="5" s="1"/>
  <c r="N38" i="2"/>
  <c r="H38" i="3" s="1"/>
  <c r="N38" i="3" s="1"/>
  <c r="H38" i="4" s="1"/>
  <c r="N38" i="4" s="1"/>
  <c r="H38" i="5" s="1"/>
  <c r="N41" i="2"/>
  <c r="H41" i="3" s="1"/>
  <c r="N41" i="3" s="1"/>
  <c r="H41" i="4" s="1"/>
  <c r="N41" i="4" s="1"/>
  <c r="H41" i="5" s="1"/>
  <c r="N30" i="1"/>
  <c r="H29" i="2" s="1"/>
  <c r="N29" i="2" s="1"/>
  <c r="H29" i="3" s="1"/>
  <c r="N29" i="3" s="1"/>
  <c r="N11" i="7"/>
  <c r="H11" i="8" s="1"/>
  <c r="N20" i="1"/>
  <c r="H19" i="2" s="1"/>
  <c r="N19" i="2" s="1"/>
  <c r="H19" i="3" s="1"/>
  <c r="N19" i="3" s="1"/>
  <c r="H19" i="4" s="1"/>
  <c r="N19" i="4" s="1"/>
  <c r="H19" i="5" s="1"/>
  <c r="N34" i="1"/>
  <c r="H33" i="2" s="1"/>
  <c r="N33" i="2" s="1"/>
  <c r="H33" i="3" s="1"/>
  <c r="N33" i="3" s="1"/>
  <c r="H33" i="4" s="1"/>
  <c r="N33" i="4" s="1"/>
  <c r="H33" i="5" s="1"/>
  <c r="N24" i="2"/>
  <c r="H24" i="3" s="1"/>
  <c r="N24" i="3" s="1"/>
  <c r="H24" i="4" s="1"/>
  <c r="N24" i="4" s="1"/>
  <c r="H24" i="5" s="1"/>
  <c r="N20" i="2"/>
  <c r="H20" i="3" s="1"/>
  <c r="N20" i="3" s="1"/>
  <c r="H20" i="4" s="1"/>
  <c r="N20" i="4" s="1"/>
  <c r="H20" i="5" s="1"/>
  <c r="N31" i="1"/>
  <c r="H30" i="2" s="1"/>
  <c r="N30" i="2" s="1"/>
  <c r="H30" i="3" s="1"/>
  <c r="N30" i="3" s="1"/>
  <c r="H30" i="4" s="1"/>
  <c r="N30" i="4" s="1"/>
  <c r="H30" i="5" s="1"/>
  <c r="J50" i="1"/>
  <c r="N41" i="1"/>
  <c r="H40" i="2" s="1"/>
  <c r="N40" i="2" s="1"/>
  <c r="H40" i="3" s="1"/>
  <c r="N40" i="3" s="1"/>
  <c r="H40" i="4" s="1"/>
  <c r="N40" i="4" s="1"/>
  <c r="H40" i="5" s="1"/>
  <c r="N43" i="1"/>
  <c r="H42" i="2" s="1"/>
  <c r="N42" i="2" s="1"/>
  <c r="H42" i="3" s="1"/>
  <c r="N42" i="3" s="1"/>
  <c r="H42" i="4" s="1"/>
  <c r="N42" i="4" s="1"/>
  <c r="H42" i="5" s="1"/>
  <c r="H14" i="2"/>
  <c r="N14" i="2" s="1"/>
  <c r="H14" i="3" s="1"/>
  <c r="N14" i="3" s="1"/>
  <c r="N10" i="3"/>
  <c r="N38" i="1"/>
  <c r="H37" i="2" s="1"/>
  <c r="N37" i="2" s="1"/>
  <c r="H37" i="3" s="1"/>
  <c r="N37" i="3" s="1"/>
  <c r="H37" i="4" s="1"/>
  <c r="N37" i="4" s="1"/>
  <c r="H37" i="5" s="1"/>
  <c r="J49" i="6"/>
  <c r="J52" i="6" s="1"/>
  <c r="J53" i="6" s="1"/>
  <c r="N23" i="1"/>
  <c r="H22" i="2" s="1"/>
  <c r="N22" i="2" s="1"/>
  <c r="H22" i="3" s="1"/>
  <c r="N22" i="3" s="1"/>
  <c r="H22" i="4" s="1"/>
  <c r="N22" i="4" s="1"/>
  <c r="H22" i="5" s="1"/>
  <c r="N45" i="1"/>
  <c r="H44" i="2" s="1"/>
  <c r="N44" i="2" s="1"/>
  <c r="H44" i="3" s="1"/>
  <c r="N44" i="3" s="1"/>
  <c r="H44" i="4" s="1"/>
  <c r="N44" i="4" s="1"/>
  <c r="H44" i="5" s="1"/>
  <c r="N45" i="8" l="1"/>
  <c r="N28" i="8"/>
  <c r="N11" i="8"/>
  <c r="N30" i="5"/>
  <c r="H30" i="6" s="1"/>
  <c r="N30" i="6" s="1"/>
  <c r="H30" i="7" s="1"/>
  <c r="N41" i="5"/>
  <c r="H41" i="6" s="1"/>
  <c r="N41" i="6" s="1"/>
  <c r="H41" i="7" s="1"/>
  <c r="N42" i="5"/>
  <c r="H42" i="6" s="1"/>
  <c r="N42" i="6" s="1"/>
  <c r="H42" i="7" s="1"/>
  <c r="N19" i="5"/>
  <c r="H19" i="6" s="1"/>
  <c r="N19" i="6" s="1"/>
  <c r="H19" i="7" s="1"/>
  <c r="N38" i="5"/>
  <c r="H38" i="6" s="1"/>
  <c r="N38" i="6" s="1"/>
  <c r="H38" i="7" s="1"/>
  <c r="N21" i="5"/>
  <c r="H21" i="6" s="1"/>
  <c r="N21" i="6" s="1"/>
  <c r="H21" i="7" s="1"/>
  <c r="N13" i="5"/>
  <c r="H13" i="6" s="1"/>
  <c r="N22" i="5"/>
  <c r="H22" i="6" s="1"/>
  <c r="N22" i="6" s="1"/>
  <c r="H22" i="7" s="1"/>
  <c r="N33" i="5"/>
  <c r="H33" i="6" s="1"/>
  <c r="N33" i="6" s="1"/>
  <c r="H33" i="7" s="1"/>
  <c r="N37" i="5"/>
  <c r="H37" i="6" s="1"/>
  <c r="N37" i="6" s="1"/>
  <c r="H37" i="7" s="1"/>
  <c r="N40" i="5"/>
  <c r="H40" i="6" s="1"/>
  <c r="N40" i="6" s="1"/>
  <c r="H40" i="7" s="1"/>
  <c r="N11" i="5"/>
  <c r="N48" i="6"/>
  <c r="H48" i="7" s="1"/>
  <c r="N27" i="5"/>
  <c r="H27" i="6" s="1"/>
  <c r="N27" i="6" s="1"/>
  <c r="H27" i="7" s="1"/>
  <c r="N20" i="5"/>
  <c r="H20" i="6" s="1"/>
  <c r="N20" i="6" s="1"/>
  <c r="H20" i="7" s="1"/>
  <c r="N44" i="5"/>
  <c r="H44" i="6" s="1"/>
  <c r="N44" i="6" s="1"/>
  <c r="H44" i="7" s="1"/>
  <c r="N24" i="5"/>
  <c r="H24" i="6" s="1"/>
  <c r="N24" i="6" s="1"/>
  <c r="H24" i="7" s="1"/>
  <c r="N23" i="5"/>
  <c r="H23" i="6" s="1"/>
  <c r="N23" i="6" s="1"/>
  <c r="N35" i="7"/>
  <c r="H35" i="8" s="1"/>
  <c r="N32" i="7"/>
  <c r="H32" i="8" s="1"/>
  <c r="N17" i="7"/>
  <c r="H17" i="8" s="1"/>
  <c r="N47" i="7"/>
  <c r="H47" i="8" s="1"/>
  <c r="N14" i="8"/>
  <c r="N46" i="7"/>
  <c r="H46" i="8" s="1"/>
  <c r="N43" i="7"/>
  <c r="H43" i="8" s="1"/>
  <c r="N36" i="7"/>
  <c r="H36" i="8" s="1"/>
  <c r="N18" i="7"/>
  <c r="H18" i="8" s="1"/>
  <c r="N34" i="7"/>
  <c r="H34" i="8" s="1"/>
  <c r="N34" i="8" s="1"/>
  <c r="N16" i="7"/>
  <c r="H16" i="8" s="1"/>
  <c r="N39" i="7"/>
  <c r="H39" i="8" s="1"/>
  <c r="N26" i="7"/>
  <c r="H26" i="8" s="1"/>
  <c r="N29" i="6"/>
  <c r="H29" i="7" s="1"/>
  <c r="N12" i="6"/>
  <c r="H12" i="7" s="1"/>
  <c r="J56" i="2"/>
  <c r="N56" i="2" s="1"/>
  <c r="J56" i="3" s="1"/>
  <c r="J57" i="3" s="1"/>
  <c r="N57" i="3" s="1"/>
  <c r="J56" i="4" s="1"/>
  <c r="J57" i="4" s="1"/>
  <c r="N57" i="4" s="1"/>
  <c r="J55" i="5" s="1"/>
  <c r="J56" i="5" s="1"/>
  <c r="N56" i="5" s="1"/>
  <c r="J55" i="6" s="1"/>
  <c r="J56" i="6" s="1"/>
  <c r="N56" i="6" s="1"/>
  <c r="H10" i="4"/>
  <c r="N49" i="3"/>
  <c r="N49" i="2"/>
  <c r="N50" i="1"/>
  <c r="H49" i="3"/>
  <c r="J62" i="3" s="1"/>
  <c r="H49" i="2"/>
  <c r="J61" i="2" s="1"/>
  <c r="N48" i="7" l="1"/>
  <c r="H48" i="8" s="1"/>
  <c r="N20" i="7"/>
  <c r="H20" i="8" s="1"/>
  <c r="N19" i="7"/>
  <c r="H19" i="8" s="1"/>
  <c r="N18" i="8"/>
  <c r="N27" i="7"/>
  <c r="H27" i="8" s="1"/>
  <c r="N29" i="7"/>
  <c r="H29" i="8" s="1"/>
  <c r="N16" i="8"/>
  <c r="N17" i="8"/>
  <c r="N38" i="7"/>
  <c r="H38" i="8" s="1"/>
  <c r="N44" i="7"/>
  <c r="H44" i="8" s="1"/>
  <c r="N43" i="8"/>
  <c r="N24" i="7"/>
  <c r="H24" i="8" s="1"/>
  <c r="N35" i="8"/>
  <c r="N30" i="7"/>
  <c r="H30" i="8" s="1"/>
  <c r="N26" i="8"/>
  <c r="N41" i="7"/>
  <c r="H41" i="8" s="1"/>
  <c r="N12" i="7"/>
  <c r="H12" i="8" s="1"/>
  <c r="N40" i="7"/>
  <c r="H40" i="8" s="1"/>
  <c r="N21" i="7"/>
  <c r="H21" i="8" s="1"/>
  <c r="N22" i="7"/>
  <c r="H22" i="8" s="1"/>
  <c r="N37" i="7"/>
  <c r="N39" i="8"/>
  <c r="N36" i="8"/>
  <c r="N46" i="8"/>
  <c r="N47" i="8"/>
  <c r="N32" i="8"/>
  <c r="N42" i="7"/>
  <c r="H42" i="8" s="1"/>
  <c r="N33" i="7"/>
  <c r="H33" i="8" s="1"/>
  <c r="N13" i="6"/>
  <c r="H13" i="7" s="1"/>
  <c r="N13" i="7" s="1"/>
  <c r="J55" i="7"/>
  <c r="J56" i="7" s="1"/>
  <c r="N56" i="7" s="1"/>
  <c r="J55" i="8"/>
  <c r="J56" i="8" s="1"/>
  <c r="N56" i="8" s="1"/>
  <c r="I10" i="4"/>
  <c r="N10" i="4" s="1"/>
  <c r="H49" i="4"/>
  <c r="J62" i="4" s="1"/>
  <c r="N48" i="8" l="1"/>
  <c r="N33" i="8"/>
  <c r="N44" i="8"/>
  <c r="N20" i="8"/>
  <c r="N40" i="8"/>
  <c r="N24" i="8"/>
  <c r="N22" i="8"/>
  <c r="N30" i="8"/>
  <c r="N29" i="8"/>
  <c r="N41" i="8"/>
  <c r="N13" i="8"/>
  <c r="N37" i="8"/>
  <c r="N12" i="8"/>
  <c r="N38" i="8"/>
  <c r="N27" i="8"/>
  <c r="N19" i="8"/>
  <c r="N42" i="8"/>
  <c r="N21" i="8"/>
  <c r="H10" i="5"/>
  <c r="N49" i="4"/>
  <c r="I10" i="5" l="1"/>
  <c r="H49" i="5"/>
  <c r="N10" i="5" l="1"/>
  <c r="N49" i="5" s="1"/>
  <c r="J61" i="5"/>
  <c r="H10" i="6"/>
  <c r="I10" i="6" l="1"/>
  <c r="H49" i="6"/>
  <c r="N10" i="6" l="1"/>
  <c r="H10" i="7" s="1"/>
  <c r="I49" i="6"/>
  <c r="J61" i="6" s="1"/>
  <c r="N49" i="6" l="1"/>
  <c r="I10" i="7"/>
  <c r="H49" i="7"/>
  <c r="N10" i="7" l="1"/>
  <c r="N49" i="7" s="1"/>
  <c r="I49" i="7"/>
  <c r="J61" i="7" s="1"/>
  <c r="H10" i="8"/>
  <c r="I10" i="8" l="1"/>
  <c r="N10" i="8" s="1"/>
  <c r="N49" i="8" s="1"/>
  <c r="H49" i="8"/>
  <c r="J61" i="8" s="1"/>
</calcChain>
</file>

<file path=xl/sharedStrings.xml><?xml version="1.0" encoding="utf-8"?>
<sst xmlns="http://schemas.openxmlformats.org/spreadsheetml/2006/main" count="2130" uniqueCount="556">
  <si>
    <t>LOBBY ENTERPRISES</t>
  </si>
  <si>
    <t xml:space="preserve">                                                          PROPERTY MANAGERS AND ESTATE AGENTS</t>
  </si>
  <si>
    <t>P.O.BOX 11987</t>
  </si>
  <si>
    <t>PAYBILL</t>
  </si>
  <si>
    <t>Care taker</t>
  </si>
  <si>
    <t>AC NO</t>
  </si>
  <si>
    <t>Phone no</t>
  </si>
  <si>
    <t xml:space="preserve"> </t>
  </si>
  <si>
    <t>HSE NO</t>
  </si>
  <si>
    <t>NAME</t>
  </si>
  <si>
    <t>PHONE NO</t>
  </si>
  <si>
    <t>DEPOSIT PAID</t>
  </si>
  <si>
    <t>MONTHLY RENT</t>
  </si>
  <si>
    <t>BAL B/D</t>
  </si>
  <si>
    <t>RENT DUE</t>
  </si>
  <si>
    <t>RENT PAID</t>
  </si>
  <si>
    <t>RCT NO</t>
  </si>
  <si>
    <t>PERIOD</t>
  </si>
  <si>
    <t>BALANCE</t>
  </si>
  <si>
    <t>FORMS</t>
  </si>
  <si>
    <t>Totals</t>
  </si>
  <si>
    <t>Deductions</t>
  </si>
  <si>
    <t>Less Management fees</t>
  </si>
  <si>
    <t>TOTAL DEDUCTIONS</t>
  </si>
  <si>
    <t>BAL B/F</t>
  </si>
  <si>
    <t>Cash deposited</t>
  </si>
  <si>
    <t>Paid</t>
  </si>
  <si>
    <t>Balance</t>
  </si>
  <si>
    <t>AMOUNT DUE</t>
  </si>
  <si>
    <t>AUTHORISED BY JOSEPH GITHINJI</t>
  </si>
  <si>
    <t>STATUS</t>
  </si>
  <si>
    <t xml:space="preserve">  </t>
  </si>
  <si>
    <t>TEL : 0722711933/0712949022</t>
  </si>
  <si>
    <t>RIVUNIA</t>
  </si>
  <si>
    <t xml:space="preserve">                                                                  FEB 2026</t>
  </si>
  <si>
    <t>FEB</t>
  </si>
  <si>
    <t>G1</t>
  </si>
  <si>
    <t>G2</t>
  </si>
  <si>
    <t>G3</t>
  </si>
  <si>
    <t>A1</t>
  </si>
  <si>
    <t>A2</t>
  </si>
  <si>
    <t>A3</t>
  </si>
  <si>
    <t>A4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</si>
  <si>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</si>
  <si>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</si>
  <si>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</si>
  <si>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</si>
  <si>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</si>
  <si>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</si>
  <si>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</si>
  <si>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</si>
  <si>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</si>
  <si>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</si>
  <si>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</si>
  <si>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</si>
  <si>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</si>
  <si>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</si>
  <si>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</si>
  <si>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</si>
  <si>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</si>
  <si>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</si>
  <si>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</si>
  <si>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</si>
  <si>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</si>
  <si>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</si>
  <si>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</si>
  <si>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</si>
  <si>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</si>
  <si>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</si>
  <si>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</si>
  <si>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</si>
  <si>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</si>
  <si>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</si>
  <si>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</si>
  <si>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</si>
  <si>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WATER BILL</t>
  </si>
  <si>
    <t>RENT ARREAS</t>
  </si>
  <si>
    <t>BALANCE BREAKDOWN</t>
  </si>
  <si>
    <t>0722750497</t>
  </si>
  <si>
    <t>0705152448</t>
  </si>
  <si>
    <t>STANLEY MUTHOKA</t>
  </si>
  <si>
    <t>0726696925</t>
  </si>
  <si>
    <t>YUSUF GICHANA</t>
  </si>
  <si>
    <t>0724604589</t>
  </si>
  <si>
    <t>ANNE MAHERO</t>
  </si>
  <si>
    <t>0732891525</t>
  </si>
  <si>
    <t>0745529428</t>
  </si>
  <si>
    <t>EFFIE REINEE</t>
  </si>
  <si>
    <t>0728224646</t>
  </si>
  <si>
    <t>0702837845</t>
  </si>
  <si>
    <t>0112321416</t>
  </si>
  <si>
    <t>SARAH KABIRU</t>
  </si>
  <si>
    <t>0726491785</t>
  </si>
  <si>
    <t>DOMITILIA WANJIKU</t>
  </si>
  <si>
    <t>0798059118</t>
  </si>
  <si>
    <t>0720548574</t>
  </si>
  <si>
    <t>OFFICE</t>
  </si>
  <si>
    <t>NESH</t>
  </si>
  <si>
    <t>0719728717</t>
  </si>
  <si>
    <t>DENNIS MBOYA</t>
  </si>
  <si>
    <t>0726689860</t>
  </si>
  <si>
    <t>0728444472</t>
  </si>
  <si>
    <t>FRANCIS KAMAU</t>
  </si>
  <si>
    <t>0724960681</t>
  </si>
  <si>
    <t>JACINTA</t>
  </si>
  <si>
    <t>0735765230</t>
  </si>
  <si>
    <t>0714216677</t>
  </si>
  <si>
    <t>ALEX OMANGA</t>
  </si>
  <si>
    <t>0713579337</t>
  </si>
  <si>
    <t>NATASHA  KAMARI</t>
  </si>
  <si>
    <t>0769308005</t>
  </si>
  <si>
    <t>CALVIN OUMA</t>
  </si>
  <si>
    <t>0717038580</t>
  </si>
  <si>
    <t>TITUS  MUTHARIA</t>
  </si>
  <si>
    <t>0721211242</t>
  </si>
  <si>
    <t>CONTANA ERICK</t>
  </si>
  <si>
    <t>0724567912</t>
  </si>
  <si>
    <t>REDEMPTA</t>
  </si>
  <si>
    <t>0758251456</t>
  </si>
  <si>
    <t>0717152296</t>
  </si>
  <si>
    <t>GITURU SAMSON</t>
  </si>
  <si>
    <t>IRENE NASHIPEI</t>
  </si>
  <si>
    <t>0719361901</t>
  </si>
  <si>
    <t>0713040717</t>
  </si>
  <si>
    <t xml:space="preserve">DIANA KAMAU </t>
  </si>
  <si>
    <t>TRACY MUTHONI</t>
  </si>
  <si>
    <t>0705708602</t>
  </si>
  <si>
    <t>JULIUS NGUGI</t>
  </si>
  <si>
    <t>0721514933</t>
  </si>
  <si>
    <t xml:space="preserve">CHARLES MIGWI </t>
  </si>
  <si>
    <t>0724128289</t>
  </si>
  <si>
    <t>CATHERINE ONGILI</t>
  </si>
  <si>
    <t>0718400277</t>
  </si>
  <si>
    <t>CATHERINE KAMUMIA</t>
  </si>
  <si>
    <t>0717562256</t>
  </si>
  <si>
    <t>JOSEPH WAMBUGU</t>
  </si>
  <si>
    <t>0711679426</t>
  </si>
  <si>
    <t>JAMES KIGWA</t>
  </si>
  <si>
    <t>0722583609</t>
  </si>
  <si>
    <t>0725148756</t>
  </si>
  <si>
    <t>KEVIN ESSAU</t>
  </si>
  <si>
    <t>SWEENEY WANGUI</t>
  </si>
  <si>
    <t>STACY WANGECHI</t>
  </si>
  <si>
    <t>PURITY MAKENA</t>
  </si>
  <si>
    <t>GARBAGE</t>
  </si>
  <si>
    <t>CATHERINE MWENDE</t>
  </si>
  <si>
    <t>UB4G65MNG3</t>
  </si>
  <si>
    <t xml:space="preserve">UB46V5OWF6 </t>
  </si>
  <si>
    <t xml:space="preserve">UB46V5OWF6 /UB56V5Q0LN </t>
  </si>
  <si>
    <t xml:space="preserve">UB4NY5OXM2/DIRECT </t>
  </si>
  <si>
    <t xml:space="preserve">DIRECT/UB56N5PPG6 /UB56N5OSIS </t>
  </si>
  <si>
    <t xml:space="preserve">UB5G35OPDV/UB5G35OUNN  </t>
  </si>
  <si>
    <t xml:space="preserve"> A5</t>
  </si>
  <si>
    <t xml:space="preserve">10TH    </t>
  </si>
  <si>
    <t xml:space="preserve">UB9EP669B9 </t>
  </si>
  <si>
    <t xml:space="preserve">UB4GX5M2W2 </t>
  </si>
  <si>
    <t xml:space="preserve">UB5NL5YPVP </t>
  </si>
  <si>
    <t xml:space="preserve">UB42B5ULMV </t>
  </si>
  <si>
    <t xml:space="preserve">UB4I05NLU7/UB5I05T1L5  </t>
  </si>
  <si>
    <t xml:space="preserve">UB8U976IY2 </t>
  </si>
  <si>
    <t>CLARE NYAERA BOSIRE</t>
  </si>
  <si>
    <t>0759158949</t>
  </si>
  <si>
    <t xml:space="preserve">UB5FS5VTXW </t>
  </si>
  <si>
    <t xml:space="preserve">UB5EL5WT0J </t>
  </si>
  <si>
    <t xml:space="preserve">UB7EP61QTL </t>
  </si>
  <si>
    <t xml:space="preserve">UB6BO5ZRS9 </t>
  </si>
  <si>
    <t xml:space="preserve">DIRECT/UATA0551DV </t>
  </si>
  <si>
    <t xml:space="preserve">DIRECT/UB52U5Y3GM </t>
  </si>
  <si>
    <t>10TH</t>
  </si>
  <si>
    <t>HILLARY YALLAH</t>
  </si>
  <si>
    <t>0705682987</t>
  </si>
  <si>
    <t>NELSON MUIA</t>
  </si>
  <si>
    <t>UB8NF63MI5</t>
  </si>
  <si>
    <t>SIGNED</t>
  </si>
  <si>
    <t xml:space="preserve">UB4GN5QZB2 </t>
  </si>
  <si>
    <t>UB3GQ5MIDS /UBCGQ6FMNE</t>
  </si>
  <si>
    <t xml:space="preserve">UB83L6I8P4 </t>
  </si>
  <si>
    <t>UBMI5JUJS</t>
  </si>
  <si>
    <t>UB5JA5U84X</t>
  </si>
  <si>
    <t>DIRECT/UBBFX6IC5Y</t>
  </si>
  <si>
    <t>A7 D2 B7 E1 C1 C2</t>
  </si>
  <si>
    <t>MONDAY</t>
  </si>
  <si>
    <t xml:space="preserve">UB8386FUBE </t>
  </si>
  <si>
    <t>WED</t>
  </si>
  <si>
    <t xml:space="preserve">UAJPU42VXW </t>
  </si>
  <si>
    <t>UBCOD6KI05</t>
  </si>
  <si>
    <t xml:space="preserve">UB6QC5W8SC </t>
  </si>
  <si>
    <t xml:space="preserve"> KEVIN GITAU</t>
  </si>
  <si>
    <t>SATO</t>
  </si>
  <si>
    <t>24TH</t>
  </si>
  <si>
    <t>RAHIM YUSUF HAFIZ</t>
  </si>
  <si>
    <t>FRIDAY</t>
  </si>
  <si>
    <t>TKSJIBD5QP /UB5225UM6T/UBM227F8RD</t>
  </si>
  <si>
    <t>UBC1Q6SPQH/UBL1Q7NR4T</t>
  </si>
  <si>
    <t xml:space="preserve">DIRECT/UBLHM78AH3 </t>
  </si>
  <si>
    <t xml:space="preserve">IAN WANDA </t>
  </si>
  <si>
    <t>UBDEV6LJGZ/UBOEV7LV27</t>
  </si>
  <si>
    <t>JANE  ACHIENG</t>
  </si>
  <si>
    <t>0787049221</t>
  </si>
  <si>
    <t>LOCKED</t>
  </si>
  <si>
    <t>TJTAY80R37/UBDAY6JAJS/UBDAY6JH4K/UBOAY710GP</t>
  </si>
  <si>
    <t xml:space="preserve">TD293D90SB/UBP8N7PDVY </t>
  </si>
  <si>
    <t xml:space="preserve">UB31T5H6GR /UBC1T6BTYG /UBP1T7HSDH </t>
  </si>
  <si>
    <t xml:space="preserve">JONES MAGETO </t>
  </si>
  <si>
    <t>0720834992</t>
  </si>
  <si>
    <t xml:space="preserve">UBN637PBLZ </t>
  </si>
  <si>
    <t>Less Management fees 5% (LESS DEPOSIT)</t>
  </si>
  <si>
    <t>PAYMENT DATE</t>
  </si>
  <si>
    <t>CARETAKER</t>
  </si>
  <si>
    <t xml:space="preserve">UC2MI7Z4NW </t>
  </si>
  <si>
    <t>DATES</t>
  </si>
  <si>
    <t>2ND MARCH</t>
  </si>
  <si>
    <t xml:space="preserve">UC2G37ZUKW </t>
  </si>
  <si>
    <t xml:space="preserve">UC1DI84LT5 </t>
  </si>
  <si>
    <t>1ST MARCH</t>
  </si>
  <si>
    <t>12TH FEB</t>
  </si>
  <si>
    <t xml:space="preserve">UC3FS8B6TV </t>
  </si>
  <si>
    <t>3RD MARCH</t>
  </si>
  <si>
    <t xml:space="preserve">UC3I088TY7 </t>
  </si>
  <si>
    <t xml:space="preserve">UC46V890SU </t>
  </si>
  <si>
    <t>4TH MARCH</t>
  </si>
  <si>
    <t xml:space="preserve">UC4EP8BT0N </t>
  </si>
  <si>
    <t xml:space="preserve">UC4NL8IMXU </t>
  </si>
  <si>
    <t xml:space="preserve">UC4U986BRZ </t>
  </si>
  <si>
    <t xml:space="preserve">UC4NY8B24B </t>
  </si>
  <si>
    <t xml:space="preserve">UC5GX88I71 </t>
  </si>
  <si>
    <t>5TH MARCH</t>
  </si>
  <si>
    <t>UC4GQ8DEBN</t>
  </si>
  <si>
    <t xml:space="preserve">UC5BO8IO8V </t>
  </si>
  <si>
    <t xml:space="preserve">UC5JA8ITZ6 </t>
  </si>
  <si>
    <t>UC58S8EGY3</t>
  </si>
  <si>
    <t>6TH MARCH</t>
  </si>
  <si>
    <t>UC59H8H7DG</t>
  </si>
  <si>
    <t xml:space="preserve">UCAEV8XK6W </t>
  </si>
  <si>
    <t>10TH MARCH</t>
  </si>
  <si>
    <t xml:space="preserve">UCANF8UMPL </t>
  </si>
  <si>
    <t>9TH  MARCH</t>
  </si>
  <si>
    <t xml:space="preserve">UC3T77PQ33 </t>
  </si>
  <si>
    <t xml:space="preserve">UC82U8WQ6K </t>
  </si>
  <si>
    <t xml:space="preserve">UC8PU8K9CA </t>
  </si>
  <si>
    <t xml:space="preserve">UC738933N5 </t>
  </si>
  <si>
    <t>8TH MARCH</t>
  </si>
  <si>
    <t xml:space="preserve">UC6QC8LUBP </t>
  </si>
  <si>
    <t>UCB8N90U9K</t>
  </si>
  <si>
    <t>11TH MARCH</t>
  </si>
  <si>
    <t>UC7EP8LVXZ</t>
  </si>
  <si>
    <t>UC9HM8R3NZ</t>
  </si>
  <si>
    <t>9TH MARCH</t>
  </si>
  <si>
    <t>UC4OD8F7KG</t>
  </si>
  <si>
    <t>UC1FX87ACL/UB4FX5UEG4</t>
  </si>
  <si>
    <t>4TH FEB/2ND MARCH</t>
  </si>
  <si>
    <t xml:space="preserve">UCG229H4QF </t>
  </si>
  <si>
    <t>16TH MARCH</t>
  </si>
  <si>
    <t>UCIAY9L7ZN</t>
  </si>
  <si>
    <t>18TH MARCH</t>
  </si>
  <si>
    <t>REDUCING</t>
  </si>
  <si>
    <t>UC91Q93EBN/UCO11QAO66E/UCO1QAOLXJ</t>
  </si>
  <si>
    <t>UBOF37R8UV /UC9F3900GV /UCPF3AMHDG</t>
  </si>
  <si>
    <t>9TH /26TH MARCH</t>
  </si>
  <si>
    <t xml:space="preserve">UC53L8YMJU /UCQ3LB4AY3 </t>
  </si>
  <si>
    <t>UC3GN8ARHU /UCQGNAOU7U /</t>
  </si>
  <si>
    <t>3RD/26TH/27TH  MARCH</t>
  </si>
  <si>
    <t xml:space="preserve">UC32B8F8LF /UCU2BB7JTL </t>
  </si>
  <si>
    <t>3RD/30TH  MARCH</t>
  </si>
  <si>
    <t>APR</t>
  </si>
  <si>
    <t xml:space="preserve">                                                                  APR2026</t>
  </si>
  <si>
    <t>UDIITAYT28</t>
  </si>
  <si>
    <t>UDIFSBAKXJ</t>
  </si>
  <si>
    <t>UD1EVBAPNR</t>
  </si>
  <si>
    <t>UD3HMBBWSO</t>
  </si>
  <si>
    <t>UD3G3B91PZ</t>
  </si>
  <si>
    <t>UD4JABM</t>
  </si>
  <si>
    <t>UD410BLUTU</t>
  </si>
  <si>
    <t>UD4GXBFBA9</t>
  </si>
  <si>
    <t>UD5FXBUYV6</t>
  </si>
  <si>
    <t>UD5380C3CQ</t>
  </si>
  <si>
    <t>NHE7DA6HJTG5</t>
  </si>
  <si>
    <t>UD6GQBQTOW</t>
  </si>
  <si>
    <t>UD6S8A3P86</t>
  </si>
  <si>
    <t>UD6FX01KDZ</t>
  </si>
  <si>
    <t>UCSMIAMHRU</t>
  </si>
  <si>
    <t>N/R</t>
  </si>
  <si>
    <t>LEAVING REQUESTING REFUND</t>
  </si>
  <si>
    <t>TODAY</t>
  </si>
  <si>
    <t>To send mess</t>
  </si>
  <si>
    <t>30/3/26</t>
  </si>
  <si>
    <t>UD66304PUW</t>
  </si>
  <si>
    <t>UD72U056CU</t>
  </si>
  <si>
    <t>UCRG6AKH7T</t>
  </si>
  <si>
    <t>Salary delay</t>
  </si>
  <si>
    <t>11/4/26</t>
  </si>
  <si>
    <t>NEXT WEEK</t>
  </si>
  <si>
    <t>TOMORROW 10 AM</t>
  </si>
  <si>
    <t>UD6AOBUQLR</t>
  </si>
  <si>
    <t>UCO1QQQQAOLXJ</t>
  </si>
  <si>
    <t>UD79H01IPP</t>
  </si>
  <si>
    <t>UD9PU00S64</t>
  </si>
  <si>
    <t>UD8EP03K95</t>
  </si>
  <si>
    <t>UDEEP0QJ1O</t>
  </si>
  <si>
    <t>UDENR0R7Z6</t>
  </si>
  <si>
    <t>WANTS DEPOSIT</t>
  </si>
  <si>
    <t>LEFT</t>
  </si>
  <si>
    <t>0721131902</t>
  </si>
  <si>
    <t>PROCLAMATION AND FORCEFUL EVICTION HSE B7</t>
  </si>
  <si>
    <t>MAY</t>
  </si>
  <si>
    <t xml:space="preserve">                                                                  MAY 2026</t>
  </si>
  <si>
    <t>27/4/26</t>
  </si>
  <si>
    <t>UE26N2TG86</t>
  </si>
  <si>
    <t>UDRGN2CZHC/UE5GN39G4Y</t>
  </si>
  <si>
    <t>UE5FS3AEQJ</t>
  </si>
  <si>
    <t>UE5G32ZK11</t>
  </si>
  <si>
    <t>5/5/26</t>
  </si>
  <si>
    <t>UE59H38OEA</t>
  </si>
  <si>
    <t>UE51T2VY1U</t>
  </si>
  <si>
    <t>UE5383TJ89</t>
  </si>
  <si>
    <t>UE5GX2YXO4</t>
  </si>
  <si>
    <t>UE52U3CSA6</t>
  </si>
  <si>
    <t>UE62B3JIG3</t>
  </si>
  <si>
    <t>UE2GQ2TQDS</t>
  </si>
  <si>
    <t>2/5/26</t>
  </si>
  <si>
    <t>UDE3L1D875</t>
  </si>
  <si>
    <t>UD66NBPPHW</t>
  </si>
  <si>
    <t>UDLAY1G843</t>
  </si>
  <si>
    <t>UDANYOCYHO</t>
  </si>
  <si>
    <t>UDH2216WUV</t>
  </si>
  <si>
    <t>UD6OD014A9</t>
  </si>
  <si>
    <t xml:space="preserve">6TH APRIL </t>
  </si>
  <si>
    <t xml:space="preserve">TO BE AUCTIONED </t>
  </si>
  <si>
    <t>UD6BOBUH3J</t>
  </si>
  <si>
    <t>UEAEP3QO1L</t>
  </si>
  <si>
    <t>UEMI3HMCK</t>
  </si>
  <si>
    <t>VACANT</t>
  </si>
  <si>
    <t>UE8T7AAD56</t>
  </si>
  <si>
    <t/>
  </si>
  <si>
    <t>UE8EP3GXYQ</t>
  </si>
  <si>
    <t>UE8EV3LPXP</t>
  </si>
  <si>
    <t>UE6B03FFDJ</t>
  </si>
  <si>
    <t>UE68S361A9</t>
  </si>
  <si>
    <t>UE6NY39M56</t>
  </si>
  <si>
    <t>UE5633GOLX</t>
  </si>
  <si>
    <t>UE5JA39FZH</t>
  </si>
  <si>
    <t>UCO1QAOLXJ</t>
  </si>
  <si>
    <t>UE5U9AS540</t>
  </si>
  <si>
    <t>UE76V3BII1</t>
  </si>
  <si>
    <t>UE5I03500AJ</t>
  </si>
  <si>
    <t>UEFNF4BRLW</t>
  </si>
  <si>
    <t>UEFAY46X38</t>
  </si>
  <si>
    <t>UEFFXKLK8E</t>
  </si>
  <si>
    <t>TO AUCTION</t>
  </si>
  <si>
    <t>POWER OFF</t>
  </si>
  <si>
    <t>JOY MBITI</t>
  </si>
  <si>
    <t>0702496071</t>
  </si>
  <si>
    <t>UE7LG3CBSK/UDALGOAC50</t>
  </si>
  <si>
    <t>UEBHM3QJVY/UDBHMOF3JW</t>
  </si>
  <si>
    <t>UEK3L5KWTN</t>
  </si>
  <si>
    <t>ELIZABETH WAYUA NZIOKI</t>
  </si>
  <si>
    <t>0704827726</t>
  </si>
  <si>
    <t>AUCTIONEER FEE HSE G3</t>
  </si>
  <si>
    <t>UEMA51IH16/UETAN6C1X1</t>
  </si>
  <si>
    <t>30/5/26</t>
  </si>
  <si>
    <t>UEUOD68N32</t>
  </si>
  <si>
    <t>30TH MAY</t>
  </si>
  <si>
    <t>UEHPU4C0M7</t>
  </si>
  <si>
    <t>18TH  MAY</t>
  </si>
  <si>
    <t>JUNE</t>
  </si>
  <si>
    <t xml:space="preserve">                                                                  JUNE 2026</t>
  </si>
  <si>
    <t>UF5MI6D9UT</t>
  </si>
  <si>
    <t>UF46V6HIHB</t>
  </si>
  <si>
    <t>UF4JA6RFAG</t>
  </si>
  <si>
    <t>UETAN6CIX1</t>
  </si>
  <si>
    <t>29/5/2026</t>
  </si>
  <si>
    <t>UF4GQ6MA2T</t>
  </si>
  <si>
    <t>UF2DI6FAOX</t>
  </si>
  <si>
    <t>UF32B6TT02</t>
  </si>
  <si>
    <t>5/6/026</t>
  </si>
  <si>
    <t>UF3I06GFZU</t>
  </si>
  <si>
    <t>3/6/026</t>
  </si>
  <si>
    <t>4/6/026</t>
  </si>
  <si>
    <t>UERG65LI4O</t>
  </si>
  <si>
    <t>27/5/026</t>
  </si>
  <si>
    <t>UF4CX6AJM9</t>
  </si>
  <si>
    <t>UF5BO6U9NU</t>
  </si>
  <si>
    <t>JIM MBIRATA</t>
  </si>
  <si>
    <t>0723138207</t>
  </si>
  <si>
    <t>UERS80G94G</t>
  </si>
  <si>
    <t>27/6/126</t>
  </si>
  <si>
    <t>UESSF5XI3J</t>
  </si>
  <si>
    <t>UF58S6NXJ6</t>
  </si>
  <si>
    <t>UESJN5XBEI</t>
  </si>
  <si>
    <t>28/5/26</t>
  </si>
  <si>
    <t>UF4LG6ICXJ</t>
  </si>
  <si>
    <t>UF6A06WC17</t>
  </si>
  <si>
    <t>UF7EP6VXVP</t>
  </si>
  <si>
    <t>UF8GD6WSZ0</t>
  </si>
  <si>
    <t>UF9EP7557L</t>
  </si>
  <si>
    <t>UF81Q7LCAI</t>
  </si>
  <si>
    <t>UFA2U7G8IF</t>
  </si>
  <si>
    <t>ESTHER MAINA</t>
  </si>
  <si>
    <t>0794611917/0707290791</t>
  </si>
  <si>
    <t>BOOKING FOR JULY</t>
  </si>
  <si>
    <t>UFCGC7K5Q7</t>
  </si>
  <si>
    <t>12TH JUNE 2026</t>
  </si>
  <si>
    <t>UEJ6354H61</t>
  </si>
  <si>
    <t>UF6387JPW1</t>
  </si>
  <si>
    <t>UFAPU71A9H</t>
  </si>
  <si>
    <t>UFFFX84AGB</t>
  </si>
  <si>
    <t>15/6/26</t>
  </si>
  <si>
    <t>UF5G36KZNP</t>
  </si>
  <si>
    <t>14/6/26</t>
  </si>
  <si>
    <t>UF38N6JIT/UF38N6JIZN</t>
  </si>
  <si>
    <t>3RD JUNE</t>
  </si>
  <si>
    <t>UFOQW99CLD</t>
  </si>
  <si>
    <t>24TH JUNE</t>
  </si>
  <si>
    <t>UDBHM0F3JW/UFGM7V9VQ</t>
  </si>
  <si>
    <t>15TH JULY</t>
  </si>
  <si>
    <t>UTILITES OFF</t>
  </si>
  <si>
    <t xml:space="preserve">                                                                  JULY 2026</t>
  </si>
  <si>
    <t>UG4GY9VP1Y</t>
  </si>
  <si>
    <t>UG4I0A3OMD</t>
  </si>
  <si>
    <t>UG4EPAO3K</t>
  </si>
  <si>
    <t>UG5A0AA6HZ</t>
  </si>
  <si>
    <t>UG59HA7XPI</t>
  </si>
  <si>
    <t>UG58SA4ECC</t>
  </si>
  <si>
    <t>UG6G3A1V6B</t>
  </si>
  <si>
    <t>SIMON KABIRU</t>
  </si>
  <si>
    <t>UG4MUAGVDG</t>
  </si>
  <si>
    <t>UG4GCA5NAY</t>
  </si>
  <si>
    <t>UG5BOA8KWS</t>
  </si>
  <si>
    <t>UGCFXB99II</t>
  </si>
  <si>
    <t>UGA22AQ03Z</t>
  </si>
  <si>
    <t>UFUMI98K3V</t>
  </si>
  <si>
    <t>UG36V9V0Q8</t>
  </si>
  <si>
    <t>UG1JA9YESR</t>
  </si>
  <si>
    <t>U1ANA7MR2</t>
  </si>
  <si>
    <t>UG4GQA1BGJ</t>
  </si>
  <si>
    <t>UG62UAIPMY</t>
  </si>
  <si>
    <t>DOMITILLA WANJIKU</t>
  </si>
  <si>
    <t>UG1LG9MYHK</t>
  </si>
  <si>
    <t>UGBEVAVD2D</t>
  </si>
  <si>
    <t>UG2GX9L27A</t>
  </si>
  <si>
    <t>UG1TN0GB42/UFRAYN3CYC</t>
  </si>
  <si>
    <t>27/06/2026   /   01/07/2026</t>
  </si>
  <si>
    <t>UFQNY92CF7</t>
  </si>
  <si>
    <t>15TH</t>
  </si>
  <si>
    <t>UG138AH373</t>
  </si>
  <si>
    <t>UG56NA7F2L</t>
  </si>
  <si>
    <t>UGGPUB3993</t>
  </si>
  <si>
    <t>16/07/2026</t>
  </si>
  <si>
    <t>ANGELLA NJERI</t>
  </si>
  <si>
    <t>0797624424</t>
  </si>
  <si>
    <t>UFUO89HPRA/ UFRO895FSK</t>
  </si>
  <si>
    <t>30.06.2026</t>
  </si>
  <si>
    <t>UGJQW08BHW</t>
  </si>
  <si>
    <t>20/07/2026</t>
  </si>
  <si>
    <t>SAMUEL MUKOYA</t>
  </si>
  <si>
    <t>0721636240</t>
  </si>
  <si>
    <t>ERNSEST MUKIRI MUTHOKA</t>
  </si>
  <si>
    <t>0768782014</t>
  </si>
  <si>
    <t>UFQG693OSW/ UGRG60Q05K</t>
  </si>
  <si>
    <t>7/26/2026 / 28/7/2026</t>
  </si>
  <si>
    <t>ERNSEST MUKIRI MUCHENE</t>
  </si>
  <si>
    <t>UGUGO0P8NH</t>
  </si>
  <si>
    <t xml:space="preserve">UFGHM7V9VQ/UFIHN848PC/ UGFHM4V9VXQ </t>
  </si>
  <si>
    <t>7/26/2026/31.07.2026</t>
  </si>
  <si>
    <t>UFRGN9EZR1/UGVGN1E2J2/UGVGN1HH1T</t>
  </si>
  <si>
    <t>7/30/2026/31.07.2026</t>
  </si>
  <si>
    <t>UH1NY18ZI5</t>
  </si>
  <si>
    <t>01.08.2026</t>
  </si>
  <si>
    <t>AUGUST</t>
  </si>
  <si>
    <t xml:space="preserve"> B4</t>
  </si>
  <si>
    <t>PETER</t>
  </si>
  <si>
    <t>0708870383</t>
  </si>
  <si>
    <t>03.08.2026</t>
  </si>
  <si>
    <t>UG42BAD9QP/ UGV2B1IVRH</t>
  </si>
  <si>
    <t xml:space="preserve">UH3EP1FD9I </t>
  </si>
  <si>
    <t xml:space="preserve">UH28S19R6Z </t>
  </si>
  <si>
    <t>UH3GQ1KF56</t>
  </si>
  <si>
    <t>UH3UH27OKA</t>
  </si>
  <si>
    <t>UH1JA1ICWG</t>
  </si>
  <si>
    <t>04.08.2026</t>
  </si>
  <si>
    <t>POWER AND WATER DISCONNECTED</t>
  </si>
  <si>
    <t xml:space="preserve">UH1G314331 </t>
  </si>
  <si>
    <t xml:space="preserve">UH5221O8OI </t>
  </si>
  <si>
    <t xml:space="preserve">UH5382M6H4 </t>
  </si>
  <si>
    <t xml:space="preserve">UH59H1SRQU </t>
  </si>
  <si>
    <t xml:space="preserve">UH5MU2413U </t>
  </si>
  <si>
    <t>05.08.2026</t>
  </si>
  <si>
    <t xml:space="preserve">UH5O81MC3O </t>
  </si>
  <si>
    <t>02.08.2026</t>
  </si>
  <si>
    <t xml:space="preserve">UH5I01P26Q </t>
  </si>
  <si>
    <t xml:space="preserve">UH5A01VOPD </t>
  </si>
  <si>
    <t xml:space="preserve">UGO8E0HNLQ/UH4KI25AEI </t>
  </si>
  <si>
    <t>24/07/2026/ 04.08.2026</t>
  </si>
  <si>
    <t xml:space="preserve">UH5FS23HJF </t>
  </si>
  <si>
    <t xml:space="preserve">UH6LG1REQ7 </t>
  </si>
  <si>
    <t>06.08.2026</t>
  </si>
  <si>
    <t xml:space="preserve">UH6BO1X6U3 </t>
  </si>
  <si>
    <t xml:space="preserve">UG3FSA7H3/UGSR20VV35 </t>
  </si>
  <si>
    <t xml:space="preserve">UH6GX1L17E </t>
  </si>
  <si>
    <t>UH46N1O9OX</t>
  </si>
  <si>
    <t xml:space="preserve">A4AE97B799627 </t>
  </si>
  <si>
    <t xml:space="preserve">UH1GC1B9SF </t>
  </si>
  <si>
    <t>UC1G67YBW6</t>
  </si>
  <si>
    <t xml:space="preserve">UH81Q2SMI8 </t>
  </si>
  <si>
    <t>08.08.2026</t>
  </si>
  <si>
    <t>KE1BAAHA1Z4T</t>
  </si>
  <si>
    <t>07.08.2026</t>
  </si>
  <si>
    <t>UH9632JDDZ</t>
  </si>
  <si>
    <t>09.08.2026</t>
  </si>
  <si>
    <t>UHHFX3FIIR</t>
  </si>
  <si>
    <t>26TH</t>
  </si>
  <si>
    <t xml:space="preserve">UHHEP2ZSNT </t>
  </si>
  <si>
    <t xml:space="preserve">UHHAY2YJ6I </t>
  </si>
  <si>
    <t>17.08.2026</t>
  </si>
  <si>
    <t xml:space="preserve">UHJPU31CH9 </t>
  </si>
  <si>
    <t>19.08.2026</t>
  </si>
  <si>
    <t>UH3GC1J1M6/UHDGC2QXTA/UHRGC4AWNL</t>
  </si>
  <si>
    <t>03.08.2026/13.08.2026/ 27.08.2026</t>
  </si>
  <si>
    <t>9/31/2026</t>
  </si>
  <si>
    <t>SEPTEMBER</t>
  </si>
  <si>
    <t>UHSG64CDEN</t>
  </si>
  <si>
    <t xml:space="preserve">UHQMI3Q3NM </t>
  </si>
  <si>
    <t xml:space="preserve">UGOGOBWHLU/UHVGO4AOOD </t>
  </si>
  <si>
    <t>24/07/2026/ 31.08.2026</t>
  </si>
  <si>
    <t>KE2BABWZG20H-ABSA BANK</t>
  </si>
  <si>
    <t>UI3LG5OE3J</t>
  </si>
  <si>
    <t>0068000320260903080657APEAC07C</t>
  </si>
  <si>
    <t xml:space="preserve">UHT6N4L360 </t>
  </si>
  <si>
    <t xml:space="preserve">UI5I05C48L </t>
  </si>
  <si>
    <t>UI5GQ5F4G4</t>
  </si>
  <si>
    <t xml:space="preserve">UI5MU5QOO2 </t>
  </si>
  <si>
    <t xml:space="preserve">UI58S57CDC </t>
  </si>
  <si>
    <t xml:space="preserve">UI5A05GECK </t>
  </si>
  <si>
    <t xml:space="preserve">UI4GC5BLPK </t>
  </si>
  <si>
    <t xml:space="preserve">UI5G352HAK </t>
  </si>
  <si>
    <t xml:space="preserve">UI5FS5PNA8 </t>
  </si>
  <si>
    <t xml:space="preserve">UI41Q5Z6RZ </t>
  </si>
  <si>
    <t xml:space="preserve">UI5GO4YS4U </t>
  </si>
  <si>
    <t xml:space="preserve">UI4GX4XN6T </t>
  </si>
  <si>
    <t>UI6BO5K8TS</t>
  </si>
  <si>
    <t xml:space="preserve">UI6KB587OF </t>
  </si>
  <si>
    <t xml:space="preserve">UI4MI4S539 </t>
  </si>
  <si>
    <t xml:space="preserve">UIAEP5STDX </t>
  </si>
  <si>
    <t>9/10/2026</t>
  </si>
  <si>
    <t>Q3R3MIEJOVF</t>
  </si>
  <si>
    <t>9/11/2026</t>
  </si>
  <si>
    <t>18TH</t>
  </si>
  <si>
    <t>NANCY KAMAU</t>
  </si>
  <si>
    <t>0799014762</t>
  </si>
  <si>
    <t xml:space="preserve">UI6SL3MF10 </t>
  </si>
  <si>
    <t>9/6/2026</t>
  </si>
  <si>
    <t>NEW TENANT</t>
  </si>
  <si>
    <t xml:space="preserve">UI5O858B6O </t>
  </si>
  <si>
    <t xml:space="preserve">LOICE WANJIRU </t>
  </si>
  <si>
    <t xml:space="preserve">UI2F15A0TI </t>
  </si>
  <si>
    <t>'02-09-2026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</si>
</sst>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8"/>
      <color rgb="FF00B0F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0" tint="-4.9989318521683403E-2"/>
      <name val="Calibri"/>
      <family val="2"/>
      <scheme val="minor"/>
    </font>
    <font>
      <b/>
      <sz val="14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43" fontId="2" fillId="0" borderId="1" xfId="1" applyFont="1" applyFill="1" applyBorder="1"/>
    <xf numFmtId="43" fontId="4" fillId="0" borderId="1" xfId="1" applyFont="1" applyFill="1" applyBorder="1"/>
    <xf numFmtId="0" fontId="5" fillId="0" borderId="0" xfId="0" applyFont="1"/>
    <xf numFmtId="43" fontId="6" fillId="0" borderId="1" xfId="1" applyFont="1" applyFill="1" applyBorder="1"/>
    <xf numFmtId="0" fontId="6" fillId="0" borderId="1" xfId="0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14" fontId="6" fillId="0" borderId="1" xfId="0" applyNumberFormat="1" applyFont="1" applyBorder="1"/>
    <xf numFmtId="43" fontId="3" fillId="0" borderId="1" xfId="0" applyNumberFormat="1" applyFont="1" applyBorder="1"/>
    <xf numFmtId="49" fontId="3" fillId="0" borderId="1" xfId="0" applyNumberFormat="1" applyFont="1" applyBorder="1"/>
    <xf numFmtId="165" fontId="3" fillId="0" borderId="1" xfId="1" applyNumberFormat="1" applyFont="1" applyFill="1" applyBorder="1"/>
    <xf numFmtId="0" fontId="7" fillId="0" borderId="0" xfId="0" applyFont="1"/>
    <xf numFmtId="3" fontId="6" fillId="0" borderId="1" xfId="0" applyNumberFormat="1" applyFont="1" applyBorder="1"/>
    <xf numFmtId="43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/>
    <xf numFmtId="3" fontId="2" fillId="0" borderId="1" xfId="0" applyNumberFormat="1" applyFont="1" applyBorder="1"/>
    <xf numFmtId="43" fontId="2" fillId="0" borderId="1" xfId="0" applyNumberFormat="1" applyFont="1" applyBorder="1" applyAlignment="1">
      <alignment horizontal="left"/>
    </xf>
    <xf numFmtId="0" fontId="8" fillId="0" borderId="1" xfId="0" applyFont="1" applyBorder="1"/>
    <xf numFmtId="49" fontId="8" fillId="0" borderId="1" xfId="0" applyNumberFormat="1" applyFont="1" applyBorder="1"/>
    <xf numFmtId="3" fontId="8" fillId="0" borderId="1" xfId="0" applyNumberFormat="1" applyFont="1" applyBorder="1"/>
    <xf numFmtId="164" fontId="8" fillId="0" borderId="1" xfId="1" applyNumberFormat="1" applyFont="1" applyFill="1" applyBorder="1"/>
    <xf numFmtId="165" fontId="8" fillId="0" borderId="1" xfId="0" applyNumberFormat="1" applyFont="1" applyBorder="1"/>
    <xf numFmtId="0" fontId="9" fillId="0" borderId="1" xfId="0" applyFont="1" applyBorder="1"/>
    <xf numFmtId="0" fontId="8" fillId="0" borderId="0" xfId="0" applyFont="1"/>
    <xf numFmtId="165" fontId="10" fillId="0" borderId="1" xfId="1" applyNumberFormat="1" applyFont="1" applyFill="1" applyBorder="1"/>
    <xf numFmtId="0" fontId="11" fillId="0" borderId="1" xfId="0" applyFont="1" applyBorder="1"/>
    <xf numFmtId="165" fontId="2" fillId="0" borderId="2" xfId="1" applyNumberFormat="1" applyFont="1" applyFill="1" applyBorder="1"/>
    <xf numFmtId="3" fontId="6" fillId="0" borderId="1" xfId="0" applyNumberFormat="1" applyFont="1" applyBorder="1" applyAlignment="1">
      <alignment horizontal="center"/>
    </xf>
    <xf numFmtId="14" fontId="6" fillId="0" borderId="1" xfId="1" applyNumberFormat="1" applyFont="1" applyFill="1" applyBorder="1"/>
    <xf numFmtId="14" fontId="3" fillId="0" borderId="1" xfId="1" applyNumberFormat="1" applyFont="1" applyFill="1" applyBorder="1"/>
    <xf numFmtId="165" fontId="5" fillId="0" borderId="0" xfId="0" applyNumberFormat="1" applyFont="1"/>
    <xf numFmtId="0" fontId="11" fillId="0" borderId="0" xfId="0" applyFont="1"/>
    <xf numFmtId="3" fontId="6" fillId="0" borderId="0" xfId="0" applyNumberFormat="1" applyFont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43" fontId="13" fillId="0" borderId="1" xfId="1" applyFont="1" applyFill="1" applyBorder="1" applyAlignment="1">
      <alignment horizontal="left"/>
    </xf>
    <xf numFmtId="0" fontId="15" fillId="0" borderId="1" xfId="0" applyFont="1" applyBorder="1"/>
    <xf numFmtId="3" fontId="13" fillId="0" borderId="1" xfId="1" applyNumberFormat="1" applyFont="1" applyFill="1" applyBorder="1"/>
    <xf numFmtId="43" fontId="13" fillId="0" borderId="1" xfId="1" applyFont="1" applyFill="1" applyBorder="1"/>
    <xf numFmtId="0" fontId="13" fillId="0" borderId="1" xfId="1" applyNumberFormat="1" applyFont="1" applyFill="1" applyBorder="1"/>
    <xf numFmtId="43" fontId="15" fillId="0" borderId="1" xfId="1" applyFont="1" applyFill="1" applyBorder="1"/>
    <xf numFmtId="43" fontId="16" fillId="0" borderId="1" xfId="1" applyFont="1" applyFill="1" applyBorder="1"/>
    <xf numFmtId="0" fontId="16" fillId="0" borderId="1" xfId="0" applyFont="1" applyBorder="1"/>
    <xf numFmtId="3" fontId="16" fillId="0" borderId="1" xfId="1" applyNumberFormat="1" applyFont="1" applyFill="1" applyBorder="1"/>
    <xf numFmtId="0" fontId="16" fillId="0" borderId="1" xfId="1" applyNumberFormat="1" applyFont="1" applyFill="1" applyBorder="1"/>
    <xf numFmtId="0" fontId="16" fillId="0" borderId="1" xfId="0" quotePrefix="1" applyFont="1" applyBorder="1"/>
    <xf numFmtId="3" fontId="14" fillId="0" borderId="1" xfId="0" applyNumberFormat="1" applyFont="1" applyBorder="1"/>
    <xf numFmtId="43" fontId="16" fillId="0" borderId="1" xfId="1" applyFont="1" applyFill="1" applyBorder="1" applyAlignment="1">
      <alignment horizontal="right"/>
    </xf>
    <xf numFmtId="43" fontId="13" fillId="0" borderId="1" xfId="1" applyFont="1" applyFill="1" applyBorder="1" applyAlignment="1">
      <alignment horizontal="right" wrapText="1"/>
    </xf>
    <xf numFmtId="43" fontId="13" fillId="0" borderId="1" xfId="1" applyFont="1" applyFill="1" applyBorder="1" applyAlignment="1">
      <alignment wrapText="1"/>
    </xf>
    <xf numFmtId="43" fontId="13" fillId="0" borderId="1" xfId="1" applyFont="1" applyFill="1" applyBorder="1" applyAlignment="1">
      <alignment horizontal="center"/>
    </xf>
    <xf numFmtId="0" fontId="17" fillId="0" borderId="1" xfId="0" applyFont="1" applyBorder="1"/>
    <xf numFmtId="49" fontId="14" fillId="0" borderId="1" xfId="0" quotePrefix="1" applyNumberFormat="1" applyFont="1" applyBorder="1"/>
    <xf numFmtId="165" fontId="17" fillId="0" borderId="1" xfId="1" applyNumberFormat="1" applyFont="1" applyFill="1" applyBorder="1" applyAlignment="1">
      <alignment horizontal="right"/>
    </xf>
    <xf numFmtId="165" fontId="14" fillId="0" borderId="1" xfId="0" applyNumberFormat="1" applyFont="1" applyBorder="1"/>
    <xf numFmtId="165" fontId="17" fillId="0" borderId="1" xfId="1" applyNumberFormat="1" applyFont="1" applyFill="1" applyBorder="1"/>
    <xf numFmtId="0" fontId="17" fillId="0" borderId="1" xfId="1" applyNumberFormat="1" applyFont="1" applyFill="1" applyBorder="1" applyAlignment="1">
      <alignment horizontal="center"/>
    </xf>
    <xf numFmtId="17" fontId="14" fillId="0" borderId="1" xfId="0" applyNumberFormat="1" applyFont="1" applyBorder="1" applyAlignment="1">
      <alignment horizontal="center"/>
    </xf>
    <xf numFmtId="165" fontId="18" fillId="0" borderId="1" xfId="1" applyNumberFormat="1" applyFont="1" applyFill="1" applyBorder="1" applyAlignment="1">
      <alignment horizontal="right"/>
    </xf>
    <xf numFmtId="165" fontId="14" fillId="0" borderId="1" xfId="1" applyNumberFormat="1" applyFont="1" applyFill="1" applyBorder="1" applyAlignment="1">
      <alignment horizontal="right"/>
    </xf>
    <xf numFmtId="14" fontId="16" fillId="0" borderId="1" xfId="0" applyNumberFormat="1" applyFont="1" applyBorder="1"/>
    <xf numFmtId="43" fontId="14" fillId="0" borderId="1" xfId="0" applyNumberFormat="1" applyFont="1" applyBorder="1"/>
    <xf numFmtId="0" fontId="19" fillId="0" borderId="1" xfId="0" applyFont="1" applyBorder="1"/>
    <xf numFmtId="0" fontId="14" fillId="0" borderId="0" xfId="0" applyFont="1"/>
    <xf numFmtId="49" fontId="14" fillId="0" borderId="1" xfId="0" applyNumberFormat="1" applyFont="1" applyBorder="1"/>
    <xf numFmtId="165" fontId="19" fillId="0" borderId="1" xfId="0" applyNumberFormat="1" applyFont="1" applyBorder="1" applyAlignment="1">
      <alignment horizontal="right"/>
    </xf>
    <xf numFmtId="3" fontId="16" fillId="0" borderId="1" xfId="0" applyNumberFormat="1" applyFont="1" applyBorder="1"/>
    <xf numFmtId="165" fontId="19" fillId="0" borderId="1" xfId="1" applyNumberFormat="1" applyFont="1" applyFill="1" applyBorder="1"/>
    <xf numFmtId="43" fontId="19" fillId="0" borderId="1" xfId="0" applyNumberFormat="1" applyFont="1" applyBorder="1" applyAlignment="1">
      <alignment horizontal="right"/>
    </xf>
    <xf numFmtId="43" fontId="13" fillId="0" borderId="1" xfId="0" applyNumberFormat="1" applyFont="1" applyBorder="1" applyAlignment="1">
      <alignment horizontal="right"/>
    </xf>
    <xf numFmtId="43" fontId="13" fillId="0" borderId="1" xfId="0" applyNumberFormat="1" applyFont="1" applyBorder="1"/>
    <xf numFmtId="3" fontId="13" fillId="0" borderId="1" xfId="0" applyNumberFormat="1" applyFont="1" applyBorder="1"/>
    <xf numFmtId="43" fontId="13" fillId="0" borderId="1" xfId="0" applyNumberFormat="1" applyFont="1" applyBorder="1" applyAlignment="1">
      <alignment horizontal="left"/>
    </xf>
    <xf numFmtId="164" fontId="14" fillId="0" borderId="1" xfId="1" applyNumberFormat="1" applyFont="1" applyFill="1" applyBorder="1"/>
    <xf numFmtId="165" fontId="20" fillId="0" borderId="1" xfId="1" applyNumberFormat="1" applyFont="1" applyFill="1" applyBorder="1"/>
    <xf numFmtId="165" fontId="14" fillId="0" borderId="1" xfId="1" applyNumberFormat="1" applyFont="1" applyFill="1" applyBorder="1"/>
    <xf numFmtId="0" fontId="21" fillId="0" borderId="1" xfId="0" applyFont="1" applyBorder="1"/>
    <xf numFmtId="0" fontId="21" fillId="0" borderId="0" xfId="0" applyFont="1"/>
    <xf numFmtId="165" fontId="13" fillId="0" borderId="2" xfId="1" applyNumberFormat="1" applyFont="1" applyFill="1" applyBorder="1"/>
    <xf numFmtId="3" fontId="16" fillId="0" borderId="1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14" fontId="16" fillId="0" borderId="1" xfId="1" applyNumberFormat="1" applyFont="1" applyFill="1" applyBorder="1"/>
    <xf numFmtId="14" fontId="14" fillId="0" borderId="1" xfId="1" applyNumberFormat="1" applyFont="1" applyFill="1" applyBorder="1"/>
    <xf numFmtId="14" fontId="17" fillId="0" borderId="1" xfId="1" applyNumberFormat="1" applyFont="1" applyFill="1" applyBorder="1" applyAlignment="1">
      <alignment horizontal="center"/>
    </xf>
    <xf numFmtId="0" fontId="17" fillId="0" borderId="1" xfId="1" quotePrefix="1" applyNumberFormat="1" applyFont="1" applyFill="1" applyBorder="1" applyAlignment="1">
      <alignment horizontal="center"/>
    </xf>
    <xf numFmtId="0" fontId="5" fillId="0" borderId="0" xfId="0" quotePrefix="1" applyFont="1"/>
    <xf numFmtId="14" fontId="17" fillId="0" borderId="1" xfId="1" quotePrefix="1" applyNumberFormat="1" applyFont="1" applyFill="1" applyBorder="1" applyAlignment="1">
      <alignment horizontal="center"/>
    </xf>
    <xf numFmtId="16" fontId="17" fillId="0" borderId="1" xfId="1" applyNumberFormat="1" applyFont="1" applyFill="1" applyBorder="1" applyAlignment="1">
      <alignment horizontal="center"/>
    </xf>
    <xf numFmtId="0" fontId="17" fillId="2" borderId="1" xfId="0" applyFont="1" applyFill="1" applyBorder="1"/>
    <xf numFmtId="0" fontId="14" fillId="2" borderId="1" xfId="0" applyFont="1" applyFill="1" applyBorder="1"/>
    <xf numFmtId="49" fontId="14" fillId="2" borderId="1" xfId="0" quotePrefix="1" applyNumberFormat="1" applyFont="1" applyFill="1" applyBorder="1"/>
    <xf numFmtId="165" fontId="17" fillId="2" borderId="1" xfId="1" applyNumberFormat="1" applyFont="1" applyFill="1" applyBorder="1" applyAlignment="1">
      <alignment horizontal="right"/>
    </xf>
    <xf numFmtId="3" fontId="14" fillId="2" borderId="1" xfId="0" applyNumberFormat="1" applyFont="1" applyFill="1" applyBorder="1"/>
    <xf numFmtId="165" fontId="14" fillId="2" borderId="1" xfId="0" applyNumberFormat="1" applyFont="1" applyFill="1" applyBorder="1"/>
    <xf numFmtId="165" fontId="17" fillId="2" borderId="1" xfId="1" applyNumberFormat="1" applyFont="1" applyFill="1" applyBorder="1"/>
    <xf numFmtId="0" fontId="17" fillId="2" borderId="1" xfId="1" applyNumberFormat="1" applyFont="1" applyFill="1" applyBorder="1" applyAlignment="1">
      <alignment horizontal="center"/>
    </xf>
    <xf numFmtId="17" fontId="14" fillId="2" borderId="1" xfId="0" applyNumberFormat="1" applyFont="1" applyFill="1" applyBorder="1" applyAlignment="1">
      <alignment horizontal="center"/>
    </xf>
    <xf numFmtId="14" fontId="16" fillId="2" borderId="1" xfId="0" applyNumberFormat="1" applyFont="1" applyFill="1" applyBorder="1"/>
    <xf numFmtId="0" fontId="5" fillId="2" borderId="0" xfId="0" applyFont="1" applyFill="1"/>
    <xf numFmtId="14" fontId="15" fillId="0" borderId="1" xfId="0" applyNumberFormat="1" applyFont="1" applyBorder="1"/>
    <xf numFmtId="0" fontId="14" fillId="0" borderId="1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17" fillId="0" borderId="1" xfId="0" quotePrefix="1" applyNumberFormat="1" applyFont="1" applyBorder="1"/>
    <xf numFmtId="3" fontId="17" fillId="0" borderId="1" xfId="0" applyNumberFormat="1" applyFont="1" applyBorder="1"/>
    <xf numFmtId="165" fontId="17" fillId="0" borderId="1" xfId="0" applyNumberFormat="1" applyFont="1" applyBorder="1"/>
    <xf numFmtId="17" fontId="17" fillId="0" borderId="1" xfId="0" applyNumberFormat="1" applyFont="1" applyBorder="1" applyAlignment="1">
      <alignment horizontal="center"/>
    </xf>
    <xf numFmtId="14" fontId="19" fillId="0" borderId="1" xfId="0" applyNumberFormat="1" applyFont="1" applyBorder="1"/>
    <xf numFmtId="0" fontId="22" fillId="0" borderId="1" xfId="0" applyFont="1" applyBorder="1"/>
    <xf numFmtId="0" fontId="23" fillId="0" borderId="0" xfId="0" applyFont="1"/>
    <xf numFmtId="49" fontId="23" fillId="0" borderId="1" xfId="0" applyNumberFormat="1" applyFont="1" applyBorder="1"/>
    <xf numFmtId="165" fontId="22" fillId="0" borderId="1" xfId="0" applyNumberFormat="1" applyFont="1" applyBorder="1" applyAlignment="1">
      <alignment horizontal="right"/>
    </xf>
    <xf numFmtId="3" fontId="23" fillId="0" borderId="1" xfId="0" applyNumberFormat="1" applyFont="1" applyBorder="1"/>
    <xf numFmtId="165" fontId="23" fillId="0" borderId="1" xfId="0" applyNumberFormat="1" applyFont="1" applyBorder="1"/>
    <xf numFmtId="165" fontId="22" fillId="0" borderId="1" xfId="1" applyNumberFormat="1" applyFont="1" applyFill="1" applyBorder="1"/>
    <xf numFmtId="0" fontId="22" fillId="0" borderId="1" xfId="1" applyNumberFormat="1" applyFont="1" applyFill="1" applyBorder="1" applyAlignment="1">
      <alignment horizontal="center"/>
    </xf>
    <xf numFmtId="43" fontId="22" fillId="0" borderId="1" xfId="0" applyNumberFormat="1" applyFont="1" applyBorder="1" applyAlignment="1">
      <alignment horizontal="right"/>
    </xf>
    <xf numFmtId="0" fontId="1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6c4013377bf6ed3a/LOBBY%20LINKED/LOBBY%202026/RUIRU%202026/LOBBY%20LINKED/LOBBY%202025/NAIROBI/GHETTO%20(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"/>
      <sheetName val="SEP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7">
          <cell r="K67">
            <v>-0.40000000002328306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444D-F5F6-446B-9E8F-0C19E2BA62D5}">
  <sheetPr>
    <pageSetUpPr fitToPage="1"/>
  </sheetPr>
  <dimension ref="A1:T109"/>
  <sheetViews>
    <sheetView topLeftCell="A31" zoomScale="80" zoomScaleNormal="80" workbookViewId="0">
      <selection activeCell="A50" sqref="A50:XFD50"/>
    </sheetView>
  </sheetViews>
  <sheetFormatPr defaultColWidth="9" defaultRowHeight="12"/>
  <cols>
    <col min="1" max="1" width="7.5703125" style="5" customWidth="1"/>
    <col min="2" max="2" width="19.42578125" style="5" customWidth="1"/>
    <col min="3" max="3" width="17" style="5" customWidth="1"/>
    <col min="4" max="4" width="9.5703125" style="5" customWidth="1"/>
    <col min="5" max="7" width="12.5703125" style="5" customWidth="1"/>
    <col min="8" max="8" width="20.28515625" style="5" customWidth="1"/>
    <col min="9" max="9" width="22" style="5" customWidth="1"/>
    <col min="10" max="10" width="13.42578125" style="5" customWidth="1"/>
    <col min="11" max="11" width="43.28515625" style="5" customWidth="1"/>
    <col min="12" max="12" width="11.85546875" style="5" customWidth="1"/>
    <col min="13" max="13" width="8.42578125" style="5" customWidth="1"/>
    <col min="14" max="16" width="11.140625" style="5" customWidth="1"/>
    <col min="17" max="17" width="9.28515625" style="5" customWidth="1"/>
    <col min="18" max="18" width="11.5703125" style="5" customWidth="1"/>
    <col min="19" max="16384" width="9" style="5"/>
  </cols>
  <sheetData>
    <row r="1" spans="1:18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"/>
      <c r="P1" s="4"/>
      <c r="Q1" s="4"/>
      <c r="R1" s="4"/>
    </row>
    <row r="2" spans="1:18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"/>
      <c r="P2" s="4"/>
      <c r="Q2" s="4"/>
      <c r="R2" s="4"/>
    </row>
    <row r="3" spans="1:18" ht="18.75">
      <c r="A3" s="120" t="s">
        <v>34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"/>
      <c r="P3" s="1"/>
      <c r="Q3" s="1"/>
      <c r="R3" s="1"/>
    </row>
    <row r="4" spans="1:18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6"/>
      <c r="P4" s="6"/>
      <c r="Q4" s="6"/>
      <c r="R4" s="6"/>
    </row>
    <row r="5" spans="1:18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6"/>
      <c r="P5" s="6"/>
      <c r="Q5" s="6"/>
      <c r="R5" s="6"/>
    </row>
    <row r="6" spans="1:18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6"/>
      <c r="P6" s="6"/>
      <c r="Q6" s="6"/>
      <c r="R6" s="6"/>
    </row>
    <row r="7" spans="1:18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6"/>
      <c r="P7" s="6"/>
      <c r="Q7" s="6"/>
      <c r="R7" s="6"/>
    </row>
    <row r="8" spans="1:18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3" t="s">
        <v>77</v>
      </c>
      <c r="P8" s="3"/>
      <c r="Q8" s="6"/>
      <c r="R8" s="6"/>
    </row>
    <row r="9" spans="1:18" ht="56.25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207</v>
      </c>
      <c r="M9" s="36" t="s">
        <v>17</v>
      </c>
      <c r="N9" s="41" t="s">
        <v>18</v>
      </c>
      <c r="O9" s="3" t="s">
        <v>75</v>
      </c>
      <c r="P9" s="3" t="s">
        <v>76</v>
      </c>
      <c r="Q9" s="3" t="s">
        <v>30</v>
      </c>
      <c r="R9" s="3" t="s">
        <v>19</v>
      </c>
    </row>
    <row r="10" spans="1:18" ht="18.75">
      <c r="A10" s="54" t="s">
        <v>36</v>
      </c>
      <c r="B10" s="37" t="s">
        <v>208</v>
      </c>
      <c r="C10" s="55" t="s">
        <v>302</v>
      </c>
      <c r="D10" s="56"/>
      <c r="E10" s="56"/>
      <c r="F10" s="56"/>
      <c r="G10" s="56"/>
      <c r="H10" s="49"/>
      <c r="I10" s="57">
        <f>D10+E10+F10+G10+H10</f>
        <v>0</v>
      </c>
      <c r="J10" s="58"/>
      <c r="K10" s="59"/>
      <c r="L10" s="59"/>
      <c r="M10" s="60" t="s">
        <v>35</v>
      </c>
      <c r="N10" s="57">
        <f>I10-J10</f>
        <v>0</v>
      </c>
      <c r="O10" s="9"/>
      <c r="P10" s="9"/>
      <c r="Q10" s="10"/>
      <c r="R10" s="11"/>
    </row>
    <row r="11" spans="1:18" ht="18.75">
      <c r="A11" s="54" t="s">
        <v>37</v>
      </c>
      <c r="B11" s="37" t="s">
        <v>140</v>
      </c>
      <c r="C11" s="55" t="s">
        <v>79</v>
      </c>
      <c r="D11" s="56"/>
      <c r="E11" s="56">
        <v>11000</v>
      </c>
      <c r="F11" s="56">
        <v>450</v>
      </c>
      <c r="G11" s="56">
        <v>300</v>
      </c>
      <c r="H11" s="49">
        <v>0</v>
      </c>
      <c r="I11" s="57">
        <f t="shared" ref="I11:I49" si="0">D11+E11+F11+G11+H11</f>
        <v>11750</v>
      </c>
      <c r="J11" s="58">
        <f>11450</f>
        <v>11450</v>
      </c>
      <c r="K11" s="59" t="s">
        <v>177</v>
      </c>
      <c r="L11" s="59"/>
      <c r="M11" s="60" t="s">
        <v>35</v>
      </c>
      <c r="N11" s="57">
        <f t="shared" ref="N11:N49" si="1">I11-J11</f>
        <v>300</v>
      </c>
      <c r="O11" s="9"/>
      <c r="P11" s="9"/>
      <c r="Q11" s="10"/>
      <c r="R11" s="11"/>
    </row>
    <row r="12" spans="1:18" ht="18.75">
      <c r="A12" s="54" t="s">
        <v>38</v>
      </c>
      <c r="B12" s="37" t="s">
        <v>80</v>
      </c>
      <c r="C12" s="55" t="s">
        <v>81</v>
      </c>
      <c r="D12" s="56"/>
      <c r="E12" s="56">
        <v>21000</v>
      </c>
      <c r="F12" s="56">
        <v>750</v>
      </c>
      <c r="G12" s="56">
        <v>300</v>
      </c>
      <c r="H12" s="49">
        <f>44100+22050</f>
        <v>66150</v>
      </c>
      <c r="I12" s="57">
        <f t="shared" si="0"/>
        <v>88200</v>
      </c>
      <c r="J12" s="58">
        <f>21900+22050</f>
        <v>43950</v>
      </c>
      <c r="K12" s="59" t="s">
        <v>201</v>
      </c>
      <c r="L12" s="59"/>
      <c r="M12" s="60" t="s">
        <v>35</v>
      </c>
      <c r="N12" s="57">
        <f t="shared" si="1"/>
        <v>44250</v>
      </c>
      <c r="O12" s="9"/>
      <c r="P12" s="9"/>
      <c r="Q12" s="10" t="s">
        <v>153</v>
      </c>
      <c r="R12" s="11"/>
    </row>
    <row r="13" spans="1:18" ht="18.75">
      <c r="A13" s="54" t="s">
        <v>39</v>
      </c>
      <c r="B13" s="37" t="s">
        <v>82</v>
      </c>
      <c r="C13" s="55" t="s">
        <v>83</v>
      </c>
      <c r="D13" s="56"/>
      <c r="E13" s="56">
        <v>22000</v>
      </c>
      <c r="F13" s="56">
        <v>150</v>
      </c>
      <c r="G13" s="56">
        <v>300</v>
      </c>
      <c r="H13" s="49">
        <v>0</v>
      </c>
      <c r="I13" s="57">
        <f t="shared" si="0"/>
        <v>22450</v>
      </c>
      <c r="J13" s="58">
        <f>22150+300</f>
        <v>22450</v>
      </c>
      <c r="K13" s="59" t="s">
        <v>148</v>
      </c>
      <c r="L13" s="59"/>
      <c r="M13" s="60" t="s">
        <v>35</v>
      </c>
      <c r="N13" s="57">
        <f t="shared" si="1"/>
        <v>0</v>
      </c>
      <c r="O13" s="9"/>
      <c r="P13" s="9"/>
      <c r="Q13" s="10"/>
      <c r="R13" s="11" t="s">
        <v>173</v>
      </c>
    </row>
    <row r="14" spans="1:18" ht="18.75">
      <c r="A14" s="54" t="s">
        <v>40</v>
      </c>
      <c r="B14" s="37" t="s">
        <v>84</v>
      </c>
      <c r="C14" s="55" t="s">
        <v>85</v>
      </c>
      <c r="D14" s="56"/>
      <c r="E14" s="56">
        <v>20000</v>
      </c>
      <c r="F14" s="56">
        <v>450</v>
      </c>
      <c r="G14" s="56">
        <v>300</v>
      </c>
      <c r="H14" s="49">
        <v>0</v>
      </c>
      <c r="I14" s="57">
        <f t="shared" si="0"/>
        <v>20750</v>
      </c>
      <c r="J14" s="58">
        <f>20750</f>
        <v>20750</v>
      </c>
      <c r="K14" s="59" t="s">
        <v>178</v>
      </c>
      <c r="L14" s="59"/>
      <c r="M14" s="60" t="s">
        <v>35</v>
      </c>
      <c r="N14" s="57">
        <f t="shared" si="1"/>
        <v>0</v>
      </c>
      <c r="O14" s="9"/>
      <c r="P14" s="9"/>
      <c r="Q14" s="10"/>
      <c r="R14" s="11"/>
    </row>
    <row r="15" spans="1:18" ht="18.75">
      <c r="A15" s="54" t="s">
        <v>41</v>
      </c>
      <c r="B15" s="37" t="s">
        <v>331</v>
      </c>
      <c r="C15" s="55"/>
      <c r="D15" s="56"/>
      <c r="E15" s="56"/>
      <c r="F15" s="56"/>
      <c r="G15" s="56"/>
      <c r="H15" s="49"/>
      <c r="I15" s="57">
        <f t="shared" si="0"/>
        <v>0</v>
      </c>
      <c r="J15" s="58"/>
      <c r="K15" s="59"/>
      <c r="L15" s="59"/>
      <c r="M15" s="60" t="s">
        <v>35</v>
      </c>
      <c r="N15" s="57">
        <f t="shared" si="1"/>
        <v>0</v>
      </c>
      <c r="O15" s="9" t="s">
        <v>300</v>
      </c>
      <c r="P15" s="9"/>
      <c r="Q15" s="10"/>
      <c r="R15" s="11"/>
    </row>
    <row r="16" spans="1:18" ht="21" customHeight="1">
      <c r="A16" s="54" t="s">
        <v>42</v>
      </c>
      <c r="B16" s="37" t="s">
        <v>171</v>
      </c>
      <c r="C16" s="55" t="s">
        <v>78</v>
      </c>
      <c r="D16" s="56"/>
      <c r="E16" s="56">
        <v>21000</v>
      </c>
      <c r="F16" s="56">
        <v>150</v>
      </c>
      <c r="G16" s="56">
        <v>300</v>
      </c>
      <c r="H16" s="49">
        <v>0</v>
      </c>
      <c r="I16" s="57">
        <f t="shared" si="0"/>
        <v>21450</v>
      </c>
      <c r="J16" s="58">
        <v>22000</v>
      </c>
      <c r="K16" s="59" t="s">
        <v>172</v>
      </c>
      <c r="L16" s="59"/>
      <c r="M16" s="60" t="s">
        <v>35</v>
      </c>
      <c r="N16" s="57">
        <f t="shared" si="1"/>
        <v>-550</v>
      </c>
      <c r="O16" s="9"/>
      <c r="P16" s="9"/>
      <c r="Q16" s="10"/>
      <c r="R16" s="11"/>
    </row>
    <row r="17" spans="1:20" ht="18.75">
      <c r="A17" s="54" t="s">
        <v>152</v>
      </c>
      <c r="B17" s="37" t="s">
        <v>160</v>
      </c>
      <c r="C17" s="55" t="s">
        <v>161</v>
      </c>
      <c r="D17" s="56">
        <v>21000</v>
      </c>
      <c r="E17" s="56">
        <v>21000</v>
      </c>
      <c r="F17" s="56"/>
      <c r="G17" s="56">
        <v>300</v>
      </c>
      <c r="H17" s="49">
        <v>0</v>
      </c>
      <c r="I17" s="57">
        <f t="shared" si="0"/>
        <v>42300</v>
      </c>
      <c r="J17" s="58">
        <f>21000+21000</f>
        <v>42000</v>
      </c>
      <c r="K17" s="59" t="s">
        <v>175</v>
      </c>
      <c r="L17" s="59"/>
      <c r="M17" s="60" t="s">
        <v>35</v>
      </c>
      <c r="N17" s="57">
        <f t="shared" si="1"/>
        <v>300</v>
      </c>
      <c r="O17" s="9"/>
      <c r="P17" s="9"/>
      <c r="Q17" s="10"/>
      <c r="R17" s="11"/>
    </row>
    <row r="18" spans="1:20" ht="18.75">
      <c r="A18" s="54" t="s">
        <v>43</v>
      </c>
      <c r="B18" s="37" t="s">
        <v>141</v>
      </c>
      <c r="C18" s="55" t="s">
        <v>86</v>
      </c>
      <c r="D18" s="56"/>
      <c r="E18" s="56">
        <v>12000</v>
      </c>
      <c r="F18" s="56">
        <v>450</v>
      </c>
      <c r="G18" s="56">
        <v>300</v>
      </c>
      <c r="H18" s="49">
        <v>12600</v>
      </c>
      <c r="I18" s="57">
        <f t="shared" si="0"/>
        <v>25350</v>
      </c>
      <c r="J18" s="58">
        <v>24000</v>
      </c>
      <c r="K18" s="59" t="s">
        <v>176</v>
      </c>
      <c r="L18" s="59"/>
      <c r="M18" s="60" t="s">
        <v>35</v>
      </c>
      <c r="N18" s="57">
        <f t="shared" si="1"/>
        <v>1350</v>
      </c>
      <c r="O18" s="9"/>
      <c r="P18" s="9"/>
      <c r="Q18" s="10"/>
      <c r="R18" s="11"/>
    </row>
    <row r="19" spans="1:20" ht="15" customHeight="1">
      <c r="A19" s="54" t="s">
        <v>44</v>
      </c>
      <c r="B19" s="37" t="s">
        <v>169</v>
      </c>
      <c r="C19" s="55" t="s">
        <v>170</v>
      </c>
      <c r="D19" s="56"/>
      <c r="E19" s="56">
        <v>20000</v>
      </c>
      <c r="F19" s="56">
        <v>450</v>
      </c>
      <c r="G19" s="56">
        <v>300</v>
      </c>
      <c r="H19" s="49">
        <v>0</v>
      </c>
      <c r="I19" s="57">
        <f t="shared" si="0"/>
        <v>20750</v>
      </c>
      <c r="J19" s="58">
        <f>6000+15000</f>
        <v>21000</v>
      </c>
      <c r="K19" s="59" t="s">
        <v>193</v>
      </c>
      <c r="L19" s="59"/>
      <c r="M19" s="60" t="s">
        <v>35</v>
      </c>
      <c r="N19" s="57">
        <f t="shared" si="1"/>
        <v>-250</v>
      </c>
      <c r="O19" s="9"/>
      <c r="P19" s="9"/>
      <c r="Q19" s="10" t="s">
        <v>188</v>
      </c>
      <c r="R19" s="11"/>
    </row>
    <row r="20" spans="1:20" ht="18.75" customHeight="1">
      <c r="A20" s="54" t="s">
        <v>45</v>
      </c>
      <c r="B20" s="37" t="s">
        <v>87</v>
      </c>
      <c r="C20" s="55" t="s">
        <v>88</v>
      </c>
      <c r="D20" s="56"/>
      <c r="E20" s="56">
        <v>20000</v>
      </c>
      <c r="F20" s="56">
        <v>450</v>
      </c>
      <c r="G20" s="56">
        <v>300</v>
      </c>
      <c r="H20" s="49">
        <v>20600</v>
      </c>
      <c r="I20" s="57">
        <f t="shared" si="0"/>
        <v>41350</v>
      </c>
      <c r="J20" s="58">
        <f>20600+20300</f>
        <v>40900</v>
      </c>
      <c r="K20" s="59" t="s">
        <v>179</v>
      </c>
      <c r="L20" s="59"/>
      <c r="M20" s="60" t="s">
        <v>35</v>
      </c>
      <c r="N20" s="57">
        <f t="shared" si="1"/>
        <v>450</v>
      </c>
      <c r="O20" s="9"/>
      <c r="P20" s="9"/>
      <c r="Q20" s="10"/>
      <c r="R20" s="11"/>
    </row>
    <row r="21" spans="1:20" ht="18.75">
      <c r="A21" s="54" t="s">
        <v>46</v>
      </c>
      <c r="B21" s="37" t="s">
        <v>195</v>
      </c>
      <c r="C21" s="55" t="s">
        <v>89</v>
      </c>
      <c r="D21" s="56"/>
      <c r="E21" s="56">
        <v>20000</v>
      </c>
      <c r="F21" s="56">
        <v>300</v>
      </c>
      <c r="G21" s="56">
        <v>300</v>
      </c>
      <c r="H21" s="49">
        <v>0</v>
      </c>
      <c r="I21" s="57">
        <f t="shared" si="0"/>
        <v>20600</v>
      </c>
      <c r="J21" s="58">
        <v>22300</v>
      </c>
      <c r="K21" s="59" t="s">
        <v>154</v>
      </c>
      <c r="L21" s="59"/>
      <c r="M21" s="60" t="s">
        <v>35</v>
      </c>
      <c r="N21" s="57">
        <f t="shared" si="1"/>
        <v>-1700</v>
      </c>
      <c r="O21" s="9"/>
      <c r="P21" s="9"/>
      <c r="Q21" s="10" t="s">
        <v>168</v>
      </c>
      <c r="R21" s="11"/>
    </row>
    <row r="22" spans="1:20" ht="18.75">
      <c r="A22" s="54" t="s">
        <v>47</v>
      </c>
      <c r="B22" s="37" t="s">
        <v>190</v>
      </c>
      <c r="C22" s="55" t="s">
        <v>90</v>
      </c>
      <c r="D22" s="56"/>
      <c r="E22" s="56">
        <v>20000</v>
      </c>
      <c r="F22" s="56">
        <v>150</v>
      </c>
      <c r="G22" s="56">
        <v>300</v>
      </c>
      <c r="H22" s="49">
        <v>10600</v>
      </c>
      <c r="I22" s="57">
        <f t="shared" si="0"/>
        <v>31050</v>
      </c>
      <c r="J22" s="58">
        <f>6000+20450+500</f>
        <v>26950</v>
      </c>
      <c r="K22" s="59" t="s">
        <v>150</v>
      </c>
      <c r="L22" s="59"/>
      <c r="M22" s="60" t="s">
        <v>35</v>
      </c>
      <c r="N22" s="57">
        <f t="shared" si="1"/>
        <v>4100</v>
      </c>
      <c r="O22" s="9"/>
      <c r="P22" s="9"/>
      <c r="Q22" s="10" t="s">
        <v>189</v>
      </c>
      <c r="R22" s="11"/>
    </row>
    <row r="23" spans="1:20" ht="18.75">
      <c r="A23" s="54" t="s">
        <v>48</v>
      </c>
      <c r="B23" s="37" t="s">
        <v>91</v>
      </c>
      <c r="C23" s="55" t="s">
        <v>92</v>
      </c>
      <c r="D23" s="56"/>
      <c r="E23" s="56">
        <v>21000</v>
      </c>
      <c r="F23" s="56">
        <v>600</v>
      </c>
      <c r="G23" s="56">
        <v>300</v>
      </c>
      <c r="H23" s="49">
        <v>0</v>
      </c>
      <c r="I23" s="57">
        <f t="shared" si="0"/>
        <v>21900</v>
      </c>
      <c r="J23" s="58">
        <f>21600</f>
        <v>21600</v>
      </c>
      <c r="K23" s="59" t="s">
        <v>164</v>
      </c>
      <c r="L23" s="59"/>
      <c r="M23" s="60" t="s">
        <v>35</v>
      </c>
      <c r="N23" s="57">
        <f t="shared" si="1"/>
        <v>300</v>
      </c>
      <c r="O23" s="9"/>
      <c r="P23" s="9"/>
      <c r="Q23" s="10"/>
      <c r="R23" s="11"/>
    </row>
    <row r="24" spans="1:20" ht="18.75">
      <c r="A24" s="54" t="s">
        <v>49</v>
      </c>
      <c r="B24" s="37" t="s">
        <v>93</v>
      </c>
      <c r="C24" s="55" t="s">
        <v>94</v>
      </c>
      <c r="D24" s="56"/>
      <c r="E24" s="56">
        <v>21000</v>
      </c>
      <c r="F24" s="56">
        <v>450</v>
      </c>
      <c r="G24" s="56">
        <v>300</v>
      </c>
      <c r="H24" s="49">
        <v>0</v>
      </c>
      <c r="I24" s="57">
        <f t="shared" si="0"/>
        <v>21750</v>
      </c>
      <c r="J24" s="58">
        <f>21750</f>
        <v>21750</v>
      </c>
      <c r="K24" s="59" t="s">
        <v>157</v>
      </c>
      <c r="L24" s="59"/>
      <c r="M24" s="60" t="s">
        <v>35</v>
      </c>
      <c r="N24" s="57">
        <f t="shared" si="1"/>
        <v>0</v>
      </c>
      <c r="O24" s="9"/>
      <c r="P24" s="9"/>
      <c r="Q24" s="10"/>
      <c r="R24" s="11"/>
    </row>
    <row r="25" spans="1:20" ht="18.75">
      <c r="A25" s="54" t="s">
        <v>50</v>
      </c>
      <c r="B25" s="37" t="s">
        <v>187</v>
      </c>
      <c r="C25" s="55" t="s">
        <v>95</v>
      </c>
      <c r="D25" s="56"/>
      <c r="E25" s="56">
        <v>21000</v>
      </c>
      <c r="F25" s="56">
        <v>0</v>
      </c>
      <c r="G25" s="56">
        <v>300</v>
      </c>
      <c r="H25" s="49">
        <v>81200</v>
      </c>
      <c r="I25" s="57">
        <f t="shared" si="0"/>
        <v>102500</v>
      </c>
      <c r="J25" s="58">
        <f>69600+5000</f>
        <v>74600</v>
      </c>
      <c r="K25" s="59" t="s">
        <v>194</v>
      </c>
      <c r="L25" s="59"/>
      <c r="M25" s="60" t="s">
        <v>35</v>
      </c>
      <c r="N25" s="57">
        <f t="shared" si="1"/>
        <v>27900</v>
      </c>
      <c r="O25" s="9"/>
      <c r="P25" s="9"/>
      <c r="Q25" s="10" t="s">
        <v>191</v>
      </c>
      <c r="R25" s="11"/>
    </row>
    <row r="26" spans="1:20" ht="18.75">
      <c r="A26" s="54" t="s">
        <v>51</v>
      </c>
      <c r="B26" s="37" t="s">
        <v>96</v>
      </c>
      <c r="C26" s="55"/>
      <c r="D26" s="56"/>
      <c r="E26" s="56"/>
      <c r="F26" s="56"/>
      <c r="G26" s="56"/>
      <c r="H26" s="49">
        <v>0</v>
      </c>
      <c r="I26" s="57">
        <f t="shared" si="0"/>
        <v>0</v>
      </c>
      <c r="J26" s="58"/>
      <c r="K26" s="59"/>
      <c r="L26" s="59"/>
      <c r="M26" s="60" t="s">
        <v>35</v>
      </c>
      <c r="N26" s="57">
        <f t="shared" si="1"/>
        <v>0</v>
      </c>
      <c r="O26" s="9"/>
      <c r="P26" s="9"/>
      <c r="Q26" s="10"/>
      <c r="R26" s="11"/>
    </row>
    <row r="27" spans="1:20" ht="18.75">
      <c r="A27" s="54" t="s">
        <v>52</v>
      </c>
      <c r="B27" s="37" t="s">
        <v>97</v>
      </c>
      <c r="C27" s="55" t="s">
        <v>98</v>
      </c>
      <c r="D27" s="56"/>
      <c r="E27" s="56">
        <v>21000</v>
      </c>
      <c r="F27" s="56">
        <v>150</v>
      </c>
      <c r="G27" s="56">
        <v>300</v>
      </c>
      <c r="H27" s="49">
        <v>114100</v>
      </c>
      <c r="I27" s="57">
        <f t="shared" si="0"/>
        <v>135550</v>
      </c>
      <c r="J27" s="58"/>
      <c r="K27" s="59" t="s">
        <v>301</v>
      </c>
      <c r="L27" s="59"/>
      <c r="M27" s="60" t="s">
        <v>35</v>
      </c>
      <c r="N27" s="57">
        <f t="shared" si="1"/>
        <v>135550</v>
      </c>
      <c r="O27" s="9"/>
      <c r="P27" s="9"/>
      <c r="Q27" s="10" t="s">
        <v>199</v>
      </c>
      <c r="R27" s="11" t="s">
        <v>301</v>
      </c>
    </row>
    <row r="28" spans="1:20" ht="18.75">
      <c r="A28" s="54" t="s">
        <v>53</v>
      </c>
      <c r="B28" s="37" t="s">
        <v>99</v>
      </c>
      <c r="C28" s="55" t="s">
        <v>100</v>
      </c>
      <c r="D28" s="56"/>
      <c r="E28" s="56">
        <v>21000</v>
      </c>
      <c r="F28" s="56">
        <v>1500</v>
      </c>
      <c r="G28" s="56">
        <v>300</v>
      </c>
      <c r="H28" s="49">
        <v>0</v>
      </c>
      <c r="I28" s="57">
        <f t="shared" si="0"/>
        <v>22800</v>
      </c>
      <c r="J28" s="58">
        <f>22500+300</f>
        <v>22800</v>
      </c>
      <c r="K28" s="59" t="s">
        <v>151</v>
      </c>
      <c r="L28" s="59"/>
      <c r="M28" s="60" t="s">
        <v>35</v>
      </c>
      <c r="N28" s="57">
        <f t="shared" si="1"/>
        <v>0</v>
      </c>
      <c r="O28" s="9"/>
      <c r="P28" s="9"/>
      <c r="Q28" s="10"/>
      <c r="R28" s="11" t="s">
        <v>173</v>
      </c>
      <c r="T28" s="5" t="s">
        <v>180</v>
      </c>
    </row>
    <row r="29" spans="1:20" ht="18.75">
      <c r="A29" s="54" t="s">
        <v>54</v>
      </c>
      <c r="B29" s="37" t="s">
        <v>142</v>
      </c>
      <c r="C29" s="55" t="s">
        <v>101</v>
      </c>
      <c r="D29" s="56"/>
      <c r="E29" s="56">
        <v>22000</v>
      </c>
      <c r="F29" s="56">
        <v>150</v>
      </c>
      <c r="G29" s="56">
        <v>300</v>
      </c>
      <c r="H29" s="49">
        <v>0</v>
      </c>
      <c r="I29" s="57">
        <f t="shared" si="0"/>
        <v>22450</v>
      </c>
      <c r="J29" s="58">
        <f>22600</f>
        <v>22600</v>
      </c>
      <c r="K29" s="59" t="s">
        <v>185</v>
      </c>
      <c r="L29" s="59" t="s">
        <v>215</v>
      </c>
      <c r="M29" s="60" t="s">
        <v>35</v>
      </c>
      <c r="N29" s="57">
        <f t="shared" si="1"/>
        <v>-150</v>
      </c>
      <c r="O29" s="9"/>
      <c r="P29" s="9"/>
      <c r="Q29" s="10"/>
      <c r="R29" s="11"/>
    </row>
    <row r="30" spans="1:20" ht="18.75">
      <c r="A30" s="54" t="s">
        <v>55</v>
      </c>
      <c r="B30" s="37" t="s">
        <v>102</v>
      </c>
      <c r="C30" s="55" t="s">
        <v>103</v>
      </c>
      <c r="D30" s="56"/>
      <c r="E30" s="56">
        <v>20000</v>
      </c>
      <c r="F30" s="56">
        <v>600</v>
      </c>
      <c r="G30" s="56">
        <v>300</v>
      </c>
      <c r="H30" s="49">
        <v>0</v>
      </c>
      <c r="I30" s="57">
        <f t="shared" si="0"/>
        <v>20900</v>
      </c>
      <c r="J30" s="58">
        <f>21000</f>
        <v>21000</v>
      </c>
      <c r="K30" s="59" t="s">
        <v>186</v>
      </c>
      <c r="L30" s="59"/>
      <c r="M30" s="60" t="s">
        <v>35</v>
      </c>
      <c r="N30" s="57">
        <f t="shared" si="1"/>
        <v>-100</v>
      </c>
      <c r="O30" s="9"/>
      <c r="P30" s="9"/>
      <c r="Q30" s="10"/>
      <c r="R30" s="11"/>
    </row>
    <row r="31" spans="1:20" ht="18.75">
      <c r="A31" s="54" t="s">
        <v>56</v>
      </c>
      <c r="B31" s="37" t="s">
        <v>104</v>
      </c>
      <c r="C31" s="55" t="s">
        <v>105</v>
      </c>
      <c r="D31" s="56"/>
      <c r="E31" s="56">
        <v>20000</v>
      </c>
      <c r="F31" s="56">
        <v>1050</v>
      </c>
      <c r="G31" s="56">
        <v>300</v>
      </c>
      <c r="H31" s="49">
        <v>0</v>
      </c>
      <c r="I31" s="57">
        <f t="shared" si="0"/>
        <v>21350</v>
      </c>
      <c r="J31" s="58">
        <f>21050+300</f>
        <v>21350</v>
      </c>
      <c r="K31" s="59" t="s">
        <v>158</v>
      </c>
      <c r="L31" s="59"/>
      <c r="M31" s="60" t="s">
        <v>35</v>
      </c>
      <c r="N31" s="57">
        <f t="shared" si="1"/>
        <v>0</v>
      </c>
      <c r="O31" s="9"/>
      <c r="P31" s="9"/>
      <c r="Q31" s="10"/>
      <c r="R31" s="11"/>
    </row>
    <row r="32" spans="1:20" ht="18.75">
      <c r="A32" s="54" t="s">
        <v>57</v>
      </c>
      <c r="B32" s="37" t="s">
        <v>145</v>
      </c>
      <c r="C32" s="55" t="s">
        <v>106</v>
      </c>
      <c r="D32" s="56"/>
      <c r="E32" s="56">
        <v>21000</v>
      </c>
      <c r="F32" s="56">
        <v>300</v>
      </c>
      <c r="G32" s="56">
        <v>300</v>
      </c>
      <c r="H32" s="49">
        <v>43200</v>
      </c>
      <c r="I32" s="57">
        <f t="shared" si="0"/>
        <v>64800</v>
      </c>
      <c r="J32" s="58">
        <f>43200+21600</f>
        <v>64800</v>
      </c>
      <c r="K32" s="59" t="s">
        <v>167</v>
      </c>
      <c r="L32" s="59"/>
      <c r="M32" s="60" t="s">
        <v>35</v>
      </c>
      <c r="N32" s="57">
        <f t="shared" si="1"/>
        <v>0</v>
      </c>
      <c r="O32" s="9"/>
      <c r="P32" s="9"/>
      <c r="Q32" s="10"/>
      <c r="R32" s="11"/>
    </row>
    <row r="33" spans="1:18" ht="18.75">
      <c r="A33" s="54" t="s">
        <v>58</v>
      </c>
      <c r="B33" s="37" t="s">
        <v>107</v>
      </c>
      <c r="C33" s="55" t="s">
        <v>108</v>
      </c>
      <c r="D33" s="56"/>
      <c r="E33" s="56">
        <v>20000</v>
      </c>
      <c r="F33" s="56">
        <v>1800</v>
      </c>
      <c r="G33" s="56">
        <v>300</v>
      </c>
      <c r="H33" s="49">
        <v>0</v>
      </c>
      <c r="I33" s="57">
        <f t="shared" si="0"/>
        <v>22100</v>
      </c>
      <c r="J33" s="58">
        <v>22100</v>
      </c>
      <c r="K33" s="59" t="s">
        <v>156</v>
      </c>
      <c r="L33" s="59"/>
      <c r="M33" s="60" t="s">
        <v>35</v>
      </c>
      <c r="N33" s="57">
        <f t="shared" si="1"/>
        <v>0</v>
      </c>
      <c r="O33" s="9"/>
      <c r="P33" s="9"/>
      <c r="Q33" s="10"/>
      <c r="R33" s="11"/>
    </row>
    <row r="34" spans="1:18" ht="18.75">
      <c r="A34" s="54" t="s">
        <v>59</v>
      </c>
      <c r="B34" s="37" t="s">
        <v>109</v>
      </c>
      <c r="C34" s="55" t="s">
        <v>110</v>
      </c>
      <c r="D34" s="56"/>
      <c r="E34" s="56">
        <v>12000</v>
      </c>
      <c r="F34" s="56">
        <v>600</v>
      </c>
      <c r="G34" s="56">
        <v>300</v>
      </c>
      <c r="H34" s="49">
        <v>0</v>
      </c>
      <c r="I34" s="57">
        <f t="shared" si="0"/>
        <v>12900</v>
      </c>
      <c r="J34" s="58">
        <f>6000+6900</f>
        <v>12900</v>
      </c>
      <c r="K34" s="59" t="s">
        <v>196</v>
      </c>
      <c r="L34" s="59"/>
      <c r="M34" s="60" t="s">
        <v>35</v>
      </c>
      <c r="N34" s="57">
        <f t="shared" si="1"/>
        <v>0</v>
      </c>
      <c r="O34" s="9"/>
      <c r="P34" s="9"/>
      <c r="Q34" s="10" t="s">
        <v>183</v>
      </c>
      <c r="R34" s="11"/>
    </row>
    <row r="35" spans="1:18" ht="18.75">
      <c r="A35" s="54" t="s">
        <v>60</v>
      </c>
      <c r="B35" s="37" t="s">
        <v>111</v>
      </c>
      <c r="C35" s="55" t="s">
        <v>112</v>
      </c>
      <c r="D35" s="56"/>
      <c r="E35" s="56">
        <v>20000</v>
      </c>
      <c r="F35" s="56">
        <v>300</v>
      </c>
      <c r="G35" s="56">
        <v>300</v>
      </c>
      <c r="H35" s="49">
        <v>0</v>
      </c>
      <c r="I35" s="57">
        <f t="shared" si="0"/>
        <v>20600</v>
      </c>
      <c r="J35" s="58">
        <f>20600</f>
        <v>20600</v>
      </c>
      <c r="K35" s="59" t="s">
        <v>146</v>
      </c>
      <c r="L35" s="59"/>
      <c r="M35" s="60" t="s">
        <v>35</v>
      </c>
      <c r="N35" s="57">
        <f t="shared" si="1"/>
        <v>0</v>
      </c>
      <c r="O35" s="9"/>
      <c r="P35" s="9"/>
      <c r="Q35" s="10"/>
      <c r="R35" s="11"/>
    </row>
    <row r="36" spans="1:18" ht="18.75">
      <c r="A36" s="54" t="s">
        <v>61</v>
      </c>
      <c r="B36" s="37" t="s">
        <v>113</v>
      </c>
      <c r="C36" s="55" t="s">
        <v>114</v>
      </c>
      <c r="D36" s="56"/>
      <c r="E36" s="56">
        <v>20000</v>
      </c>
      <c r="F36" s="56">
        <v>150</v>
      </c>
      <c r="G36" s="56">
        <v>300</v>
      </c>
      <c r="H36" s="49">
        <v>0</v>
      </c>
      <c r="I36" s="57">
        <f t="shared" si="0"/>
        <v>20450</v>
      </c>
      <c r="J36" s="58">
        <v>20450</v>
      </c>
      <c r="K36" s="59" t="s">
        <v>155</v>
      </c>
      <c r="L36" s="59"/>
      <c r="M36" s="60" t="s">
        <v>35</v>
      </c>
      <c r="N36" s="57">
        <f t="shared" si="1"/>
        <v>0</v>
      </c>
      <c r="O36" s="9"/>
      <c r="P36" s="9"/>
      <c r="Q36" s="10"/>
      <c r="R36" s="11" t="s">
        <v>173</v>
      </c>
    </row>
    <row r="37" spans="1:18" ht="18.75">
      <c r="A37" s="54" t="s">
        <v>62</v>
      </c>
      <c r="B37" s="37" t="s">
        <v>115</v>
      </c>
      <c r="C37" s="55" t="s">
        <v>116</v>
      </c>
      <c r="D37" s="56"/>
      <c r="E37" s="56">
        <v>22000</v>
      </c>
      <c r="F37" s="56">
        <v>900</v>
      </c>
      <c r="G37" s="56">
        <v>300</v>
      </c>
      <c r="H37" s="49">
        <v>0</v>
      </c>
      <c r="I37" s="57">
        <f t="shared" si="0"/>
        <v>23200</v>
      </c>
      <c r="J37" s="58">
        <f>23200</f>
        <v>23200</v>
      </c>
      <c r="K37" s="59" t="s">
        <v>147</v>
      </c>
      <c r="L37" s="59"/>
      <c r="M37" s="60" t="s">
        <v>35</v>
      </c>
      <c r="N37" s="57">
        <f t="shared" si="1"/>
        <v>0</v>
      </c>
      <c r="O37" s="9"/>
      <c r="P37" s="9"/>
      <c r="Q37" s="10"/>
      <c r="R37" s="11" t="s">
        <v>173</v>
      </c>
    </row>
    <row r="38" spans="1:18" ht="21" customHeight="1">
      <c r="A38" s="54" t="s">
        <v>63</v>
      </c>
      <c r="B38" s="37" t="s">
        <v>117</v>
      </c>
      <c r="C38" s="55" t="s">
        <v>118</v>
      </c>
      <c r="D38" s="56"/>
      <c r="E38" s="56">
        <v>21000</v>
      </c>
      <c r="F38" s="56">
        <v>450</v>
      </c>
      <c r="G38" s="56">
        <v>300</v>
      </c>
      <c r="H38" s="49">
        <v>42800</v>
      </c>
      <c r="I38" s="57">
        <f t="shared" si="0"/>
        <v>64550</v>
      </c>
      <c r="J38" s="58">
        <f>30000+20300+450+18000</f>
        <v>68750</v>
      </c>
      <c r="K38" s="59" t="s">
        <v>200</v>
      </c>
      <c r="L38" s="59"/>
      <c r="M38" s="60" t="s">
        <v>35</v>
      </c>
      <c r="N38" s="57">
        <f t="shared" si="1"/>
        <v>-4200</v>
      </c>
      <c r="O38" s="9"/>
      <c r="P38" s="9"/>
      <c r="Q38" s="10"/>
      <c r="R38" s="11"/>
    </row>
    <row r="39" spans="1:18" ht="21" customHeight="1">
      <c r="A39" s="54" t="s">
        <v>64</v>
      </c>
      <c r="B39" s="37" t="s">
        <v>120</v>
      </c>
      <c r="C39" s="55" t="s">
        <v>119</v>
      </c>
      <c r="D39" s="56"/>
      <c r="E39" s="56">
        <v>21000</v>
      </c>
      <c r="F39" s="56">
        <v>300</v>
      </c>
      <c r="G39" s="56">
        <v>300</v>
      </c>
      <c r="H39" s="49">
        <v>0</v>
      </c>
      <c r="I39" s="57">
        <f t="shared" si="0"/>
        <v>21600</v>
      </c>
      <c r="J39" s="58">
        <v>21300</v>
      </c>
      <c r="K39" s="59" t="s">
        <v>165</v>
      </c>
      <c r="L39" s="59"/>
      <c r="M39" s="60" t="s">
        <v>35</v>
      </c>
      <c r="N39" s="57">
        <f t="shared" si="1"/>
        <v>300</v>
      </c>
      <c r="O39" s="9"/>
      <c r="P39" s="9"/>
      <c r="Q39" s="10"/>
      <c r="R39" s="11"/>
    </row>
    <row r="40" spans="1:18" ht="16.5" customHeight="1">
      <c r="A40" s="54" t="s">
        <v>65</v>
      </c>
      <c r="B40" s="37" t="s">
        <v>121</v>
      </c>
      <c r="C40" s="55" t="s">
        <v>122</v>
      </c>
      <c r="D40" s="56"/>
      <c r="E40" s="56">
        <v>20000</v>
      </c>
      <c r="F40" s="56">
        <v>1050</v>
      </c>
      <c r="G40" s="56">
        <v>300</v>
      </c>
      <c r="H40" s="49">
        <v>0</v>
      </c>
      <c r="I40" s="57">
        <f t="shared" si="0"/>
        <v>21350</v>
      </c>
      <c r="J40" s="58">
        <v>21050</v>
      </c>
      <c r="K40" s="59" t="s">
        <v>162</v>
      </c>
      <c r="L40" s="59"/>
      <c r="M40" s="60" t="s">
        <v>35</v>
      </c>
      <c r="N40" s="57">
        <f t="shared" si="1"/>
        <v>300</v>
      </c>
      <c r="O40" s="9"/>
      <c r="P40" s="9"/>
      <c r="Q40" s="10"/>
      <c r="R40" s="11"/>
    </row>
    <row r="41" spans="1:18" ht="18.75">
      <c r="A41" s="54" t="s">
        <v>66</v>
      </c>
      <c r="B41" s="37" t="s">
        <v>124</v>
      </c>
      <c r="C41" s="55" t="s">
        <v>123</v>
      </c>
      <c r="D41" s="56"/>
      <c r="E41" s="56">
        <v>20000</v>
      </c>
      <c r="F41" s="56">
        <v>900</v>
      </c>
      <c r="G41" s="56">
        <v>300</v>
      </c>
      <c r="H41" s="49">
        <v>157000</v>
      </c>
      <c r="I41" s="57">
        <f t="shared" si="0"/>
        <v>178200</v>
      </c>
      <c r="J41" s="58">
        <f>157000+21200</f>
        <v>178200</v>
      </c>
      <c r="K41" s="59" t="s">
        <v>166</v>
      </c>
      <c r="L41" s="59"/>
      <c r="M41" s="60" t="s">
        <v>35</v>
      </c>
      <c r="N41" s="57">
        <f t="shared" si="1"/>
        <v>0</v>
      </c>
      <c r="O41" s="9"/>
      <c r="P41" s="9"/>
      <c r="Q41" s="10"/>
      <c r="R41" s="11" t="s">
        <v>173</v>
      </c>
    </row>
    <row r="42" spans="1:18" ht="18.75">
      <c r="A42" s="54" t="s">
        <v>67</v>
      </c>
      <c r="B42" s="37" t="s">
        <v>125</v>
      </c>
      <c r="C42" s="55" t="s">
        <v>126</v>
      </c>
      <c r="D42" s="61"/>
      <c r="E42" s="56">
        <v>12000</v>
      </c>
      <c r="F42" s="56">
        <v>450</v>
      </c>
      <c r="G42" s="56">
        <v>300</v>
      </c>
      <c r="H42" s="49">
        <v>99600</v>
      </c>
      <c r="I42" s="57">
        <f t="shared" si="0"/>
        <v>112350</v>
      </c>
      <c r="J42" s="58">
        <f>12450+99300+600</f>
        <v>112350</v>
      </c>
      <c r="K42" s="59" t="s">
        <v>149</v>
      </c>
      <c r="L42" s="59"/>
      <c r="M42" s="60" t="s">
        <v>35</v>
      </c>
      <c r="N42" s="57">
        <f t="shared" si="1"/>
        <v>0</v>
      </c>
      <c r="O42" s="9"/>
      <c r="P42" s="9"/>
      <c r="Q42" s="10"/>
      <c r="R42" s="11"/>
    </row>
    <row r="43" spans="1:18" ht="21" customHeight="1">
      <c r="A43" s="54" t="s">
        <v>68</v>
      </c>
      <c r="B43" s="37" t="s">
        <v>127</v>
      </c>
      <c r="C43" s="55" t="s">
        <v>128</v>
      </c>
      <c r="D43" s="56"/>
      <c r="E43" s="56">
        <v>20000</v>
      </c>
      <c r="F43" s="56">
        <v>600</v>
      </c>
      <c r="G43" s="56">
        <v>300</v>
      </c>
      <c r="H43" s="49">
        <v>41500</v>
      </c>
      <c r="I43" s="57">
        <f t="shared" si="0"/>
        <v>62400</v>
      </c>
      <c r="J43" s="58">
        <f>22000+22000+20000</f>
        <v>64000</v>
      </c>
      <c r="K43" s="59" t="s">
        <v>192</v>
      </c>
      <c r="L43" s="59"/>
      <c r="M43" s="60" t="s">
        <v>35</v>
      </c>
      <c r="N43" s="57">
        <f t="shared" si="1"/>
        <v>-1600</v>
      </c>
      <c r="O43" s="9"/>
      <c r="P43" s="9"/>
      <c r="Q43" s="10" t="s">
        <v>181</v>
      </c>
      <c r="R43" s="11"/>
    </row>
    <row r="44" spans="1:18" ht="18.75">
      <c r="A44" s="54" t="s">
        <v>69</v>
      </c>
      <c r="B44" s="37" t="s">
        <v>129</v>
      </c>
      <c r="C44" s="55" t="s">
        <v>130</v>
      </c>
      <c r="D44" s="56"/>
      <c r="E44" s="56">
        <v>20000</v>
      </c>
      <c r="F44" s="56">
        <v>600</v>
      </c>
      <c r="G44" s="56">
        <v>300</v>
      </c>
      <c r="H44" s="49">
        <v>0</v>
      </c>
      <c r="I44" s="57">
        <f t="shared" si="0"/>
        <v>20900</v>
      </c>
      <c r="J44" s="58">
        <v>20900</v>
      </c>
      <c r="K44" s="59" t="s">
        <v>159</v>
      </c>
      <c r="L44" s="59"/>
      <c r="M44" s="60" t="s">
        <v>35</v>
      </c>
      <c r="N44" s="57">
        <f t="shared" si="1"/>
        <v>0</v>
      </c>
      <c r="O44" s="9"/>
      <c r="P44" s="9"/>
      <c r="Q44" s="10"/>
      <c r="R44" s="11"/>
    </row>
    <row r="45" spans="1:18" ht="18.75">
      <c r="A45" s="54" t="s">
        <v>70</v>
      </c>
      <c r="B45" s="37" t="s">
        <v>131</v>
      </c>
      <c r="C45" s="55" t="s">
        <v>132</v>
      </c>
      <c r="D45" s="56"/>
      <c r="E45" s="56">
        <v>20000</v>
      </c>
      <c r="F45" s="56">
        <v>300</v>
      </c>
      <c r="G45" s="56">
        <v>300</v>
      </c>
      <c r="H45" s="49">
        <v>0</v>
      </c>
      <c r="I45" s="57">
        <f t="shared" si="0"/>
        <v>20600</v>
      </c>
      <c r="J45" s="58">
        <f>20600</f>
        <v>20600</v>
      </c>
      <c r="K45" s="59" t="s">
        <v>182</v>
      </c>
      <c r="L45" s="59"/>
      <c r="M45" s="60" t="s">
        <v>35</v>
      </c>
      <c r="N45" s="57">
        <f t="shared" si="1"/>
        <v>0</v>
      </c>
      <c r="O45" s="9"/>
      <c r="P45" s="9"/>
      <c r="Q45" s="10"/>
      <c r="R45" s="11"/>
    </row>
    <row r="46" spans="1:18" ht="18.75">
      <c r="A46" s="54" t="s">
        <v>71</v>
      </c>
      <c r="B46" s="37" t="s">
        <v>133</v>
      </c>
      <c r="C46" s="55" t="s">
        <v>134</v>
      </c>
      <c r="D46" s="56"/>
      <c r="E46" s="56">
        <v>21000</v>
      </c>
      <c r="F46" s="56">
        <v>450</v>
      </c>
      <c r="G46" s="56">
        <v>300</v>
      </c>
      <c r="H46" s="49">
        <v>0</v>
      </c>
      <c r="I46" s="57">
        <f t="shared" si="0"/>
        <v>21750</v>
      </c>
      <c r="J46" s="58">
        <f>21450+300+21750</f>
        <v>43500</v>
      </c>
      <c r="K46" s="59" t="s">
        <v>202</v>
      </c>
      <c r="L46" s="59"/>
      <c r="M46" s="60" t="s">
        <v>35</v>
      </c>
      <c r="N46" s="57">
        <f t="shared" si="1"/>
        <v>-21750</v>
      </c>
      <c r="O46" s="9"/>
      <c r="P46" s="9"/>
      <c r="Q46" s="10"/>
      <c r="R46" s="11"/>
    </row>
    <row r="47" spans="1:18" ht="18.75">
      <c r="A47" s="54" t="s">
        <v>72</v>
      </c>
      <c r="B47" s="37" t="s">
        <v>135</v>
      </c>
      <c r="C47" s="55" t="s">
        <v>136</v>
      </c>
      <c r="D47" s="56"/>
      <c r="E47" s="56">
        <v>12000</v>
      </c>
      <c r="F47" s="56">
        <v>150</v>
      </c>
      <c r="G47" s="56">
        <v>300</v>
      </c>
      <c r="H47" s="49">
        <v>0</v>
      </c>
      <c r="I47" s="57">
        <f t="shared" si="0"/>
        <v>12450</v>
      </c>
      <c r="J47" s="58">
        <f>12450</f>
        <v>12450</v>
      </c>
      <c r="K47" s="59" t="s">
        <v>184</v>
      </c>
      <c r="L47" s="59"/>
      <c r="M47" s="60" t="s">
        <v>35</v>
      </c>
      <c r="N47" s="57">
        <f t="shared" si="1"/>
        <v>0</v>
      </c>
      <c r="O47" s="9"/>
      <c r="P47" s="9"/>
      <c r="Q47" s="10"/>
      <c r="R47" s="11"/>
    </row>
    <row r="48" spans="1:18" s="14" customFormat="1" ht="18.75">
      <c r="A48" s="54" t="s">
        <v>73</v>
      </c>
      <c r="B48" s="37" t="s">
        <v>137</v>
      </c>
      <c r="C48" s="55" t="s">
        <v>139</v>
      </c>
      <c r="D48" s="62"/>
      <c r="E48" s="62">
        <v>20000</v>
      </c>
      <c r="F48" s="62">
        <v>750</v>
      </c>
      <c r="G48" s="56">
        <v>300</v>
      </c>
      <c r="H48" s="49">
        <v>0</v>
      </c>
      <c r="I48" s="57">
        <f t="shared" si="0"/>
        <v>21050</v>
      </c>
      <c r="J48" s="58">
        <v>21050</v>
      </c>
      <c r="K48" s="59" t="s">
        <v>163</v>
      </c>
      <c r="L48" s="59"/>
      <c r="M48" s="60" t="s">
        <v>35</v>
      </c>
      <c r="N48" s="57">
        <f t="shared" si="1"/>
        <v>0</v>
      </c>
      <c r="O48" s="9"/>
      <c r="P48" s="9"/>
      <c r="Q48" s="10"/>
      <c r="R48" s="11"/>
    </row>
    <row r="49" spans="1:18" ht="18.75">
      <c r="A49" s="54" t="s">
        <v>74</v>
      </c>
      <c r="B49" s="37" t="s">
        <v>143</v>
      </c>
      <c r="C49" s="55" t="s">
        <v>138</v>
      </c>
      <c r="D49" s="56"/>
      <c r="E49" s="56">
        <v>20000</v>
      </c>
      <c r="F49" s="56">
        <v>450</v>
      </c>
      <c r="G49" s="56">
        <v>300</v>
      </c>
      <c r="H49" s="49">
        <v>0</v>
      </c>
      <c r="I49" s="57">
        <f t="shared" si="0"/>
        <v>20750</v>
      </c>
      <c r="J49" s="58">
        <f>20750</f>
        <v>20750</v>
      </c>
      <c r="K49" s="59" t="s">
        <v>174</v>
      </c>
      <c r="L49" s="59"/>
      <c r="M49" s="60" t="s">
        <v>35</v>
      </c>
      <c r="N49" s="57">
        <f t="shared" si="1"/>
        <v>0</v>
      </c>
      <c r="O49" s="9"/>
      <c r="P49" s="9"/>
      <c r="Q49" s="10"/>
      <c r="R49" s="11"/>
    </row>
    <row r="50" spans="1:18" s="112" customFormat="1" ht="15.75">
      <c r="A50" s="111" t="s">
        <v>20</v>
      </c>
      <c r="C50" s="113"/>
      <c r="D50" s="114">
        <f t="shared" ref="D50:J50" si="2">SUM(D10:D49)</f>
        <v>21000</v>
      </c>
      <c r="E50" s="114">
        <f t="shared" si="2"/>
        <v>717000</v>
      </c>
      <c r="F50" s="114">
        <f t="shared" si="2"/>
        <v>18750</v>
      </c>
      <c r="G50" s="114">
        <f t="shared" si="2"/>
        <v>11100</v>
      </c>
      <c r="H50" s="115">
        <f t="shared" si="2"/>
        <v>689350</v>
      </c>
      <c r="I50" s="116">
        <f t="shared" si="2"/>
        <v>1457200</v>
      </c>
      <c r="J50" s="117">
        <f t="shared" si="2"/>
        <v>1272400</v>
      </c>
      <c r="K50" s="118"/>
      <c r="L50" s="118"/>
      <c r="M50" s="114"/>
      <c r="N50" s="114">
        <f>SUM(N10:N49)</f>
        <v>184800</v>
      </c>
      <c r="O50" s="114"/>
      <c r="P50" s="114"/>
      <c r="Q50" s="119"/>
      <c r="R50" s="119"/>
    </row>
    <row r="51" spans="1:18">
      <c r="A51" s="1"/>
      <c r="B51" s="2"/>
      <c r="C51" s="12"/>
      <c r="D51" s="16"/>
      <c r="E51" s="17">
        <v>0</v>
      </c>
      <c r="F51" s="17"/>
      <c r="G51" s="17"/>
      <c r="H51" s="18"/>
      <c r="I51" s="17"/>
      <c r="J51" s="17"/>
      <c r="K51" s="1"/>
      <c r="L51" s="1"/>
      <c r="M51" s="1"/>
      <c r="N51" s="9"/>
      <c r="O51" s="9"/>
      <c r="P51" s="9"/>
      <c r="Q51" s="17"/>
      <c r="R51" s="17"/>
    </row>
    <row r="52" spans="1:18">
      <c r="A52" s="19" t="s">
        <v>21</v>
      </c>
      <c r="B52" s="2"/>
      <c r="C52" s="12"/>
      <c r="D52" s="16"/>
      <c r="E52" s="17"/>
      <c r="F52" s="17"/>
      <c r="G52" s="17"/>
      <c r="H52" s="18"/>
      <c r="I52" s="17"/>
      <c r="J52" s="17"/>
      <c r="K52" s="1"/>
      <c r="L52" s="1"/>
      <c r="M52" s="1"/>
      <c r="N52" s="9"/>
      <c r="O52" s="9"/>
      <c r="P52" s="9"/>
      <c r="Q52" s="17"/>
      <c r="R52" s="17"/>
    </row>
    <row r="53" spans="1:18" s="26" customFormat="1" ht="12.75">
      <c r="A53" s="20" t="s">
        <v>206</v>
      </c>
      <c r="B53" s="20"/>
      <c r="C53" s="21"/>
      <c r="D53" s="20"/>
      <c r="E53" s="20"/>
      <c r="F53" s="20"/>
      <c r="G53" s="20"/>
      <c r="H53" s="22"/>
      <c r="I53" s="20"/>
      <c r="J53" s="23">
        <f>5%*E50</f>
        <v>35850</v>
      </c>
      <c r="K53" s="20"/>
      <c r="L53" s="20"/>
      <c r="M53" s="20"/>
      <c r="N53" s="24"/>
      <c r="O53" s="24"/>
      <c r="P53" s="24"/>
      <c r="Q53" s="25"/>
      <c r="R53" s="20"/>
    </row>
    <row r="54" spans="1:18" ht="14.25">
      <c r="A54" s="7" t="s">
        <v>23</v>
      </c>
      <c r="B54" s="7"/>
      <c r="C54" s="7"/>
      <c r="D54" s="7"/>
      <c r="E54" s="7"/>
      <c r="F54" s="7"/>
      <c r="G54" s="7"/>
      <c r="H54" s="15"/>
      <c r="I54" s="7"/>
      <c r="J54" s="27">
        <f>SUM(J53:J53)</f>
        <v>35850</v>
      </c>
      <c r="K54" s="7"/>
      <c r="L54" s="7"/>
      <c r="M54" s="2"/>
      <c r="N54" s="7"/>
      <c r="O54" s="7"/>
      <c r="P54" s="7"/>
      <c r="Q54" s="7"/>
      <c r="R54" s="7"/>
    </row>
    <row r="55" spans="1:18" ht="14.25">
      <c r="A55" s="7"/>
      <c r="B55" s="7"/>
      <c r="C55" s="7"/>
      <c r="D55" s="7"/>
      <c r="E55" s="7"/>
      <c r="F55" s="7"/>
      <c r="G55" s="7"/>
      <c r="H55" s="15"/>
      <c r="I55" s="7"/>
      <c r="J55" s="27"/>
      <c r="K55" s="7"/>
      <c r="L55" s="7"/>
      <c r="M55" s="2"/>
      <c r="N55" s="7"/>
      <c r="O55" s="7"/>
      <c r="P55" s="7"/>
      <c r="Q55" s="7"/>
      <c r="R55" s="7"/>
    </row>
    <row r="56" spans="1:18">
      <c r="A56" s="2" t="s">
        <v>24</v>
      </c>
      <c r="B56" s="2"/>
      <c r="C56" s="2"/>
      <c r="D56" s="2"/>
      <c r="E56" s="2"/>
      <c r="F56" s="2"/>
      <c r="G56" s="2"/>
      <c r="H56" s="8"/>
      <c r="I56" s="2"/>
      <c r="J56" s="13">
        <f>[1]DEC!$K$67</f>
        <v>-0.40000000002328306</v>
      </c>
      <c r="K56" s="28" t="s">
        <v>25</v>
      </c>
      <c r="L56" s="28"/>
      <c r="M56" s="28" t="s">
        <v>26</v>
      </c>
      <c r="N56" s="28" t="s">
        <v>27</v>
      </c>
      <c r="O56" s="34"/>
      <c r="P56" s="34"/>
    </row>
    <row r="57" spans="1:18" ht="12.75" thickBot="1">
      <c r="A57" s="1" t="s">
        <v>28</v>
      </c>
      <c r="B57" s="1"/>
      <c r="C57" s="1"/>
      <c r="D57" s="1"/>
      <c r="E57" s="1"/>
      <c r="F57" s="1"/>
      <c r="G57" s="1"/>
      <c r="H57" s="18"/>
      <c r="I57" s="7"/>
      <c r="J57" s="29">
        <f>J53</f>
        <v>35850</v>
      </c>
      <c r="K57" s="15"/>
      <c r="L57" s="15"/>
      <c r="M57" s="15">
        <v>35500</v>
      </c>
      <c r="N57" s="30">
        <f>J57-K57-M57</f>
        <v>350</v>
      </c>
      <c r="O57" s="35"/>
      <c r="P57" s="35"/>
    </row>
    <row r="58" spans="1:18" ht="12.75" thickTop="1">
      <c r="A58" s="2" t="s">
        <v>29</v>
      </c>
      <c r="B58" s="2"/>
      <c r="C58" s="2"/>
      <c r="D58" s="2"/>
      <c r="E58" s="2"/>
      <c r="F58" s="2"/>
      <c r="G58" s="2"/>
      <c r="H58" s="8"/>
      <c r="I58" s="2"/>
      <c r="J58" s="2"/>
      <c r="K58" s="2"/>
      <c r="L58" s="2"/>
      <c r="M58" s="2"/>
      <c r="N58" s="31">
        <v>46053</v>
      </c>
      <c r="O58" s="31"/>
      <c r="P58" s="31"/>
      <c r="Q58" s="32"/>
      <c r="R58" s="31"/>
    </row>
    <row r="66" spans="9:9">
      <c r="I66" s="33"/>
    </row>
    <row r="67" spans="9:9">
      <c r="I67" s="33"/>
    </row>
    <row r="109" spans="1:1">
      <c r="A109" s="5" t="s">
        <v>31</v>
      </c>
    </row>
  </sheetData>
  <mergeCells count="1">
    <mergeCell ref="A3:N3"/>
  </mergeCells>
  <phoneticPr fontId="12" type="noConversion"/>
  <pageMargins left="0.7" right="0.7" top="0.75" bottom="0.75" header="0.3" footer="0.3"/>
  <pageSetup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E10C-ECDE-40DE-B83B-258E6BDCFAA6}">
  <sheetPr>
    <pageSetUpPr fitToPage="1"/>
  </sheetPr>
  <dimension ref="A1:T107"/>
  <sheetViews>
    <sheetView topLeftCell="A7" zoomScale="60" zoomScaleNormal="60" workbookViewId="0">
      <selection activeCell="A17" sqref="A17:XFD17"/>
    </sheetView>
  </sheetViews>
  <sheetFormatPr defaultColWidth="9" defaultRowHeight="12"/>
  <cols>
    <col min="1" max="1" width="7.5703125" style="5" customWidth="1"/>
    <col min="2" max="2" width="19.42578125" style="5" customWidth="1"/>
    <col min="3" max="3" width="17" style="5" customWidth="1"/>
    <col min="4" max="4" width="18.140625" style="5" customWidth="1"/>
    <col min="5" max="7" width="12.5703125" style="5" customWidth="1"/>
    <col min="8" max="8" width="9.7109375" style="5" customWidth="1"/>
    <col min="9" max="9" width="19.140625" style="5" customWidth="1"/>
    <col min="10" max="10" width="21" style="5" customWidth="1"/>
    <col min="11" max="12" width="32.7109375" style="5" customWidth="1"/>
    <col min="13" max="13" width="8.42578125" style="5" customWidth="1"/>
    <col min="14" max="14" width="18.42578125" style="5" customWidth="1"/>
    <col min="15" max="16" width="11.140625" style="5" customWidth="1"/>
    <col min="17" max="17" width="9.28515625" style="5" customWidth="1"/>
    <col min="18" max="18" width="11.5703125" style="5" customWidth="1"/>
    <col min="19" max="16384" width="9" style="5"/>
  </cols>
  <sheetData>
    <row r="1" spans="1:18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3"/>
      <c r="P1" s="43"/>
      <c r="Q1" s="43"/>
      <c r="R1" s="43"/>
    </row>
    <row r="2" spans="1:18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3"/>
      <c r="P2" s="43"/>
      <c r="Q2" s="43"/>
      <c r="R2" s="43"/>
    </row>
    <row r="3" spans="1:18" ht="18.75">
      <c r="A3" s="120" t="s">
        <v>34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36"/>
      <c r="P3" s="36"/>
      <c r="Q3" s="36"/>
      <c r="R3" s="36"/>
    </row>
    <row r="4" spans="1:18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44"/>
      <c r="P4" s="44"/>
      <c r="Q4" s="44"/>
      <c r="R4" s="44"/>
    </row>
    <row r="5" spans="1:18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44"/>
      <c r="P5" s="44"/>
      <c r="Q5" s="44"/>
      <c r="R5" s="44"/>
    </row>
    <row r="6" spans="1:18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44"/>
      <c r="P6" s="44"/>
      <c r="Q6" s="44"/>
      <c r="R6" s="44"/>
    </row>
    <row r="7" spans="1:18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44"/>
      <c r="P7" s="44"/>
      <c r="Q7" s="44"/>
      <c r="R7" s="44"/>
    </row>
    <row r="8" spans="1:18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41" t="s">
        <v>77</v>
      </c>
      <c r="P8" s="41"/>
      <c r="Q8" s="44"/>
      <c r="R8" s="44"/>
    </row>
    <row r="9" spans="1:18" ht="56.25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210</v>
      </c>
      <c r="M9" s="36" t="s">
        <v>17</v>
      </c>
      <c r="N9" s="41" t="s">
        <v>18</v>
      </c>
      <c r="O9" s="41" t="s">
        <v>75</v>
      </c>
      <c r="P9" s="41" t="s">
        <v>76</v>
      </c>
      <c r="Q9" s="41" t="s">
        <v>30</v>
      </c>
      <c r="R9" s="41" t="s">
        <v>19</v>
      </c>
    </row>
    <row r="10" spans="1:18" ht="18.75">
      <c r="A10" s="54" t="s">
        <v>37</v>
      </c>
      <c r="B10" s="37" t="s">
        <v>140</v>
      </c>
      <c r="C10" s="55" t="s">
        <v>79</v>
      </c>
      <c r="D10" s="56"/>
      <c r="E10" s="56">
        <v>11000</v>
      </c>
      <c r="F10" s="56">
        <v>450</v>
      </c>
      <c r="G10" s="56">
        <v>300</v>
      </c>
      <c r="H10" s="49">
        <f>FEB!N11</f>
        <v>300</v>
      </c>
      <c r="I10" s="57">
        <f>D10+E10+F10+G10+H10</f>
        <v>12050</v>
      </c>
      <c r="J10" s="58">
        <v>12050</v>
      </c>
      <c r="K10" s="59" t="s">
        <v>209</v>
      </c>
      <c r="L10" s="59" t="s">
        <v>211</v>
      </c>
      <c r="M10" s="60"/>
      <c r="N10" s="57">
        <f t="shared" ref="N10:N48" si="0">I10-J10</f>
        <v>0</v>
      </c>
      <c r="O10" s="57"/>
      <c r="P10" s="57"/>
      <c r="Q10" s="63"/>
      <c r="R10" s="64" t="s">
        <v>173</v>
      </c>
    </row>
    <row r="11" spans="1:18" ht="18.75">
      <c r="A11" s="54" t="s">
        <v>38</v>
      </c>
      <c r="B11" s="37" t="s">
        <v>80</v>
      </c>
      <c r="C11" s="55" t="s">
        <v>81</v>
      </c>
      <c r="D11" s="56"/>
      <c r="E11" s="56">
        <v>21000</v>
      </c>
      <c r="F11" s="56">
        <v>750</v>
      </c>
      <c r="G11" s="56">
        <v>300</v>
      </c>
      <c r="H11" s="49">
        <f>FEB!N12</f>
        <v>44250</v>
      </c>
      <c r="I11" s="57">
        <f t="shared" ref="I11:I48" si="1">D11+E11+F11+G11+H11</f>
        <v>66300</v>
      </c>
      <c r="J11" s="58">
        <f>22050</f>
        <v>22050</v>
      </c>
      <c r="K11" s="59" t="s">
        <v>243</v>
      </c>
      <c r="L11" s="59" t="s">
        <v>244</v>
      </c>
      <c r="M11" s="60"/>
      <c r="N11" s="57">
        <f t="shared" si="0"/>
        <v>44250</v>
      </c>
      <c r="O11" s="57"/>
      <c r="P11" s="57"/>
      <c r="Q11" s="63" t="s">
        <v>153</v>
      </c>
      <c r="R11" s="64"/>
    </row>
    <row r="12" spans="1:18" ht="18.75">
      <c r="A12" s="54" t="s">
        <v>39</v>
      </c>
      <c r="B12" s="37" t="s">
        <v>82</v>
      </c>
      <c r="C12" s="55" t="s">
        <v>83</v>
      </c>
      <c r="D12" s="56"/>
      <c r="E12" s="56">
        <v>22000</v>
      </c>
      <c r="F12" s="56">
        <v>150</v>
      </c>
      <c r="G12" s="56">
        <v>300</v>
      </c>
      <c r="H12" s="49">
        <f>FEB!N13</f>
        <v>0</v>
      </c>
      <c r="I12" s="57">
        <f t="shared" si="1"/>
        <v>22450</v>
      </c>
      <c r="J12" s="58">
        <f>22450</f>
        <v>22450</v>
      </c>
      <c r="K12" s="59" t="s">
        <v>219</v>
      </c>
      <c r="L12" s="59" t="s">
        <v>220</v>
      </c>
      <c r="M12" s="60"/>
      <c r="N12" s="57">
        <f t="shared" si="0"/>
        <v>0</v>
      </c>
      <c r="O12" s="57"/>
      <c r="P12" s="57"/>
      <c r="Q12" s="63"/>
      <c r="R12" s="64" t="s">
        <v>173</v>
      </c>
    </row>
    <row r="13" spans="1:18" ht="18.75">
      <c r="A13" s="54" t="s">
        <v>40</v>
      </c>
      <c r="B13" s="37" t="s">
        <v>84</v>
      </c>
      <c r="C13" s="55" t="s">
        <v>85</v>
      </c>
      <c r="D13" s="56"/>
      <c r="E13" s="56">
        <v>20000</v>
      </c>
      <c r="F13" s="56">
        <v>300</v>
      </c>
      <c r="G13" s="56">
        <v>300</v>
      </c>
      <c r="H13" s="49">
        <f>FEB!N14</f>
        <v>0</v>
      </c>
      <c r="I13" s="57">
        <f t="shared" si="1"/>
        <v>20600</v>
      </c>
      <c r="J13" s="58">
        <f>20600</f>
        <v>20600</v>
      </c>
      <c r="K13" s="59" t="s">
        <v>229</v>
      </c>
      <c r="L13" s="59" t="s">
        <v>226</v>
      </c>
      <c r="M13" s="60"/>
      <c r="N13" s="57">
        <f t="shared" si="0"/>
        <v>0</v>
      </c>
      <c r="O13" s="57"/>
      <c r="P13" s="57"/>
      <c r="Q13" s="63"/>
      <c r="R13" s="64" t="s">
        <v>173</v>
      </c>
    </row>
    <row r="14" spans="1:18" ht="18.75">
      <c r="A14" s="54" t="s">
        <v>41</v>
      </c>
      <c r="B14" s="37" t="s">
        <v>197</v>
      </c>
      <c r="C14" s="55" t="s">
        <v>198</v>
      </c>
      <c r="D14" s="56">
        <v>22700</v>
      </c>
      <c r="E14" s="56">
        <v>21000</v>
      </c>
      <c r="F14" s="56">
        <v>0</v>
      </c>
      <c r="G14" s="56">
        <v>300</v>
      </c>
      <c r="H14" s="49">
        <f>FEB!N15</f>
        <v>0</v>
      </c>
      <c r="I14" s="57">
        <f t="shared" si="1"/>
        <v>44000</v>
      </c>
      <c r="J14" s="58">
        <f>30000+14000+21000</f>
        <v>65000</v>
      </c>
      <c r="K14" s="59" t="s">
        <v>257</v>
      </c>
      <c r="L14" s="59" t="s">
        <v>258</v>
      </c>
      <c r="M14" s="60"/>
      <c r="N14" s="57">
        <f t="shared" si="0"/>
        <v>-21000</v>
      </c>
      <c r="O14" s="57"/>
      <c r="P14" s="57"/>
      <c r="Q14" s="63"/>
      <c r="R14" s="64"/>
    </row>
    <row r="15" spans="1:18" ht="18.75" customHeight="1">
      <c r="A15" s="54" t="s">
        <v>42</v>
      </c>
      <c r="B15" s="37" t="s">
        <v>171</v>
      </c>
      <c r="C15" s="55" t="s">
        <v>78</v>
      </c>
      <c r="D15" s="56"/>
      <c r="E15" s="56">
        <v>21000</v>
      </c>
      <c r="F15" s="56">
        <v>450</v>
      </c>
      <c r="G15" s="56">
        <v>300</v>
      </c>
      <c r="H15" s="49">
        <f>FEB!N16</f>
        <v>-550</v>
      </c>
      <c r="I15" s="57">
        <f t="shared" si="1"/>
        <v>21200</v>
      </c>
      <c r="J15" s="58">
        <f>22500</f>
        <v>22500</v>
      </c>
      <c r="K15" s="59" t="s">
        <v>235</v>
      </c>
      <c r="L15" s="59" t="s">
        <v>234</v>
      </c>
      <c r="M15" s="60"/>
      <c r="N15" s="57">
        <f t="shared" si="0"/>
        <v>-1300</v>
      </c>
      <c r="O15" s="57"/>
      <c r="P15" s="57"/>
      <c r="Q15" s="63"/>
      <c r="R15" s="64" t="s">
        <v>173</v>
      </c>
    </row>
    <row r="16" spans="1:18" ht="18.75">
      <c r="A16" s="54" t="s">
        <v>152</v>
      </c>
      <c r="B16" s="37" t="s">
        <v>160</v>
      </c>
      <c r="C16" s="55" t="s">
        <v>161</v>
      </c>
      <c r="D16" s="56"/>
      <c r="E16" s="56">
        <v>21000</v>
      </c>
      <c r="F16" s="56">
        <v>450</v>
      </c>
      <c r="G16" s="56">
        <v>300</v>
      </c>
      <c r="H16" s="49">
        <f>FEB!N17</f>
        <v>300</v>
      </c>
      <c r="I16" s="57">
        <f t="shared" si="1"/>
        <v>22050</v>
      </c>
      <c r="J16" s="58">
        <f>22050</f>
        <v>22050</v>
      </c>
      <c r="K16" s="59" t="s">
        <v>227</v>
      </c>
      <c r="L16" s="59" t="s">
        <v>226</v>
      </c>
      <c r="M16" s="60"/>
      <c r="N16" s="57">
        <f t="shared" si="0"/>
        <v>0</v>
      </c>
      <c r="O16" s="57"/>
      <c r="P16" s="57"/>
      <c r="Q16" s="63"/>
      <c r="R16" s="64"/>
    </row>
    <row r="17" spans="1:20" ht="18.75">
      <c r="A17" s="54" t="s">
        <v>43</v>
      </c>
      <c r="B17" s="37" t="s">
        <v>141</v>
      </c>
      <c r="C17" s="55" t="s">
        <v>86</v>
      </c>
      <c r="D17" s="56"/>
      <c r="E17" s="56">
        <v>12000</v>
      </c>
      <c r="F17" s="56">
        <v>150</v>
      </c>
      <c r="G17" s="56">
        <v>300</v>
      </c>
      <c r="H17" s="49">
        <f>FEB!N18</f>
        <v>1350</v>
      </c>
      <c r="I17" s="57">
        <f t="shared" si="1"/>
        <v>13800</v>
      </c>
      <c r="J17" s="58">
        <f>12500+1350</f>
        <v>13850</v>
      </c>
      <c r="K17" s="59" t="s">
        <v>259</v>
      </c>
      <c r="L17" s="59" t="s">
        <v>241</v>
      </c>
      <c r="M17" s="60"/>
      <c r="N17" s="57">
        <f t="shared" si="0"/>
        <v>-50</v>
      </c>
      <c r="O17" s="57"/>
      <c r="P17" s="57"/>
      <c r="Q17" s="63"/>
      <c r="R17" s="64"/>
    </row>
    <row r="18" spans="1:20" ht="18.75">
      <c r="A18" s="54" t="s">
        <v>44</v>
      </c>
      <c r="B18" s="37" t="s">
        <v>169</v>
      </c>
      <c r="C18" s="55" t="s">
        <v>170</v>
      </c>
      <c r="D18" s="56"/>
      <c r="E18" s="56">
        <v>20000</v>
      </c>
      <c r="F18" s="56">
        <v>300</v>
      </c>
      <c r="G18" s="56">
        <v>300</v>
      </c>
      <c r="H18" s="49">
        <f>FEB!N19</f>
        <v>-250</v>
      </c>
      <c r="I18" s="57">
        <f t="shared" si="1"/>
        <v>20350</v>
      </c>
      <c r="J18" s="58">
        <f>18000+3000+21000</f>
        <v>42000</v>
      </c>
      <c r="K18" s="59" t="s">
        <v>256</v>
      </c>
      <c r="L18" s="59"/>
      <c r="M18" s="60"/>
      <c r="N18" s="57">
        <f t="shared" si="0"/>
        <v>-21650</v>
      </c>
      <c r="O18" s="57"/>
      <c r="P18" s="57"/>
      <c r="Q18" s="63" t="s">
        <v>188</v>
      </c>
      <c r="R18" s="64" t="s">
        <v>173</v>
      </c>
    </row>
    <row r="19" spans="1:20" ht="23.25" customHeight="1">
      <c r="A19" s="54" t="s">
        <v>45</v>
      </c>
      <c r="B19" s="37" t="s">
        <v>87</v>
      </c>
      <c r="C19" s="55" t="s">
        <v>88</v>
      </c>
      <c r="D19" s="56"/>
      <c r="E19" s="56">
        <v>20000</v>
      </c>
      <c r="F19" s="56">
        <v>150</v>
      </c>
      <c r="G19" s="56">
        <v>300</v>
      </c>
      <c r="H19" s="49">
        <f>FEB!N20</f>
        <v>450</v>
      </c>
      <c r="I19" s="57">
        <f t="shared" si="1"/>
        <v>20900</v>
      </c>
      <c r="J19" s="58">
        <f>20000+450</f>
        <v>20450</v>
      </c>
      <c r="K19" s="59" t="s">
        <v>249</v>
      </c>
      <c r="L19" s="59" t="s">
        <v>250</v>
      </c>
      <c r="M19" s="60"/>
      <c r="N19" s="57">
        <f t="shared" si="0"/>
        <v>450</v>
      </c>
      <c r="O19" s="57"/>
      <c r="P19" s="57"/>
      <c r="Q19" s="63"/>
      <c r="R19" s="64"/>
    </row>
    <row r="20" spans="1:20" ht="18.75">
      <c r="A20" s="54" t="s">
        <v>46</v>
      </c>
      <c r="B20" s="37" t="s">
        <v>195</v>
      </c>
      <c r="C20" s="55" t="s">
        <v>89</v>
      </c>
      <c r="D20" s="56"/>
      <c r="E20" s="56">
        <v>20000</v>
      </c>
      <c r="F20" s="56">
        <v>209.99999999999977</v>
      </c>
      <c r="G20" s="56">
        <v>300</v>
      </c>
      <c r="H20" s="49">
        <f>FEB!N21</f>
        <v>-1700</v>
      </c>
      <c r="I20" s="57">
        <f t="shared" si="1"/>
        <v>18810</v>
      </c>
      <c r="J20" s="58">
        <f>22510</f>
        <v>22510</v>
      </c>
      <c r="K20" s="59" t="s">
        <v>221</v>
      </c>
      <c r="L20" s="59" t="s">
        <v>220</v>
      </c>
      <c r="M20" s="60"/>
      <c r="N20" s="57">
        <f t="shared" si="0"/>
        <v>-3700</v>
      </c>
      <c r="O20" s="57"/>
      <c r="P20" s="57"/>
      <c r="Q20" s="63" t="s">
        <v>168</v>
      </c>
      <c r="R20" s="64"/>
    </row>
    <row r="21" spans="1:20" ht="18.75">
      <c r="A21" s="54" t="s">
        <v>47</v>
      </c>
      <c r="B21" s="37" t="s">
        <v>190</v>
      </c>
      <c r="C21" s="55" t="s">
        <v>90</v>
      </c>
      <c r="D21" s="56"/>
      <c r="E21" s="56">
        <v>20000</v>
      </c>
      <c r="F21" s="56">
        <v>0</v>
      </c>
      <c r="G21" s="56">
        <v>300</v>
      </c>
      <c r="H21" s="49">
        <f>FEB!N22</f>
        <v>4100</v>
      </c>
      <c r="I21" s="57">
        <f t="shared" si="1"/>
        <v>24400</v>
      </c>
      <c r="J21" s="58">
        <f>21300</f>
        <v>21300</v>
      </c>
      <c r="K21" s="59" t="s">
        <v>213</v>
      </c>
      <c r="L21" s="59" t="s">
        <v>214</v>
      </c>
      <c r="M21" s="60"/>
      <c r="N21" s="57">
        <f t="shared" si="0"/>
        <v>3100</v>
      </c>
      <c r="O21" s="57" t="s">
        <v>255</v>
      </c>
      <c r="P21" s="57"/>
      <c r="Q21" s="63" t="s">
        <v>189</v>
      </c>
      <c r="R21" s="64"/>
    </row>
    <row r="22" spans="1:20" ht="18.75">
      <c r="A22" s="54" t="s">
        <v>48</v>
      </c>
      <c r="B22" s="37" t="s">
        <v>91</v>
      </c>
      <c r="C22" s="55" t="s">
        <v>92</v>
      </c>
      <c r="D22" s="56"/>
      <c r="E22" s="56">
        <v>21000</v>
      </c>
      <c r="F22" s="56">
        <v>600</v>
      </c>
      <c r="G22" s="56">
        <v>300</v>
      </c>
      <c r="H22" s="49">
        <f>FEB!N23</f>
        <v>300</v>
      </c>
      <c r="I22" s="57">
        <f t="shared" si="1"/>
        <v>22200</v>
      </c>
      <c r="J22" s="58">
        <f>22200</f>
        <v>22200</v>
      </c>
      <c r="K22" s="59" t="s">
        <v>245</v>
      </c>
      <c r="L22" s="59"/>
      <c r="M22" s="60"/>
      <c r="N22" s="57">
        <f t="shared" si="0"/>
        <v>0</v>
      </c>
      <c r="O22" s="57"/>
      <c r="P22" s="57"/>
      <c r="Q22" s="63"/>
      <c r="R22" s="64"/>
    </row>
    <row r="23" spans="1:20" ht="18.75">
      <c r="A23" s="54" t="s">
        <v>49</v>
      </c>
      <c r="B23" s="37" t="s">
        <v>93</v>
      </c>
      <c r="C23" s="55" t="s">
        <v>94</v>
      </c>
      <c r="D23" s="56"/>
      <c r="E23" s="56">
        <v>21000</v>
      </c>
      <c r="F23" s="56">
        <v>600</v>
      </c>
      <c r="G23" s="56">
        <v>300</v>
      </c>
      <c r="H23" s="49">
        <f>FEB!N24</f>
        <v>0</v>
      </c>
      <c r="I23" s="57">
        <f t="shared" si="1"/>
        <v>21900</v>
      </c>
      <c r="J23" s="58">
        <f>21900+21750</f>
        <v>43650</v>
      </c>
      <c r="K23" s="59" t="s">
        <v>262</v>
      </c>
      <c r="L23" s="59" t="s">
        <v>263</v>
      </c>
      <c r="M23" s="60"/>
      <c r="N23" s="57">
        <f t="shared" si="0"/>
        <v>-21750</v>
      </c>
      <c r="O23" s="57"/>
      <c r="P23" s="57"/>
      <c r="Q23" s="63"/>
      <c r="R23" s="64"/>
    </row>
    <row r="24" spans="1:20" ht="18.75">
      <c r="A24" s="54" t="s">
        <v>50</v>
      </c>
      <c r="B24" s="37" t="s">
        <v>187</v>
      </c>
      <c r="C24" s="55" t="s">
        <v>95</v>
      </c>
      <c r="D24" s="56"/>
      <c r="E24" s="56">
        <v>21000</v>
      </c>
      <c r="F24" s="56">
        <v>300</v>
      </c>
      <c r="G24" s="56">
        <v>300</v>
      </c>
      <c r="H24" s="49">
        <f>FEB!N25</f>
        <v>27900</v>
      </c>
      <c r="I24" s="57">
        <f t="shared" si="1"/>
        <v>49500</v>
      </c>
      <c r="J24" s="58">
        <f>7000</f>
        <v>7000</v>
      </c>
      <c r="K24" s="59" t="s">
        <v>246</v>
      </c>
      <c r="L24" s="59" t="s">
        <v>247</v>
      </c>
      <c r="M24" s="60"/>
      <c r="N24" s="57">
        <f t="shared" si="0"/>
        <v>42500</v>
      </c>
      <c r="O24" s="57"/>
      <c r="P24" s="57"/>
      <c r="Q24" s="63" t="s">
        <v>191</v>
      </c>
      <c r="R24" s="64"/>
    </row>
    <row r="25" spans="1:20" ht="18.75">
      <c r="A25" s="54" t="s">
        <v>51</v>
      </c>
      <c r="B25" s="37" t="s">
        <v>96</v>
      </c>
      <c r="C25" s="55"/>
      <c r="D25" s="56"/>
      <c r="E25" s="56"/>
      <c r="F25" s="56"/>
      <c r="G25" s="56"/>
      <c r="H25" s="49">
        <f>FEB!N26</f>
        <v>0</v>
      </c>
      <c r="I25" s="57">
        <f t="shared" si="1"/>
        <v>0</v>
      </c>
      <c r="J25" s="58"/>
      <c r="K25" s="59"/>
      <c r="L25" s="59"/>
      <c r="M25" s="60"/>
      <c r="N25" s="57">
        <f t="shared" si="0"/>
        <v>0</v>
      </c>
      <c r="O25" s="57"/>
      <c r="P25" s="57"/>
      <c r="Q25" s="63"/>
      <c r="R25" s="64"/>
    </row>
    <row r="26" spans="1:20" ht="18.75">
      <c r="A26" s="54" t="s">
        <v>52</v>
      </c>
      <c r="B26" s="37" t="s">
        <v>203</v>
      </c>
      <c r="C26" s="55" t="s">
        <v>204</v>
      </c>
      <c r="D26" s="56">
        <v>23700</v>
      </c>
      <c r="E26" s="56">
        <v>22000</v>
      </c>
      <c r="F26" s="56">
        <v>0</v>
      </c>
      <c r="G26" s="56">
        <v>300</v>
      </c>
      <c r="H26" s="49"/>
      <c r="I26" s="57">
        <f t="shared" si="1"/>
        <v>46000</v>
      </c>
      <c r="J26" s="58">
        <f>46000</f>
        <v>46000</v>
      </c>
      <c r="K26" s="59" t="s">
        <v>205</v>
      </c>
      <c r="L26" s="59"/>
      <c r="M26" s="60"/>
      <c r="N26" s="57">
        <f t="shared" si="0"/>
        <v>0</v>
      </c>
      <c r="O26" s="57"/>
      <c r="P26" s="57"/>
      <c r="Q26" s="63" t="s">
        <v>199</v>
      </c>
      <c r="R26" s="64"/>
    </row>
    <row r="27" spans="1:20" ht="18.75">
      <c r="A27" s="54" t="s">
        <v>53</v>
      </c>
      <c r="B27" s="37" t="s">
        <v>99</v>
      </c>
      <c r="C27" s="55" t="s">
        <v>100</v>
      </c>
      <c r="D27" s="56"/>
      <c r="E27" s="56">
        <v>21000</v>
      </c>
      <c r="F27" s="56">
        <v>600</v>
      </c>
      <c r="G27" s="56">
        <v>300</v>
      </c>
      <c r="H27" s="49">
        <f>FEB!N28</f>
        <v>0</v>
      </c>
      <c r="I27" s="57">
        <f t="shared" si="1"/>
        <v>21900</v>
      </c>
      <c r="J27" s="58">
        <f>21900</f>
        <v>21900</v>
      </c>
      <c r="K27" s="59" t="s">
        <v>212</v>
      </c>
      <c r="L27" s="59" t="s">
        <v>211</v>
      </c>
      <c r="M27" s="60"/>
      <c r="N27" s="57">
        <f t="shared" si="0"/>
        <v>0</v>
      </c>
      <c r="O27" s="57"/>
      <c r="P27" s="57"/>
      <c r="Q27" s="63"/>
      <c r="R27" s="64" t="s">
        <v>173</v>
      </c>
      <c r="T27" s="5" t="s">
        <v>180</v>
      </c>
    </row>
    <row r="28" spans="1:20" ht="18.75">
      <c r="A28" s="54" t="s">
        <v>54</v>
      </c>
      <c r="B28" s="37" t="s">
        <v>142</v>
      </c>
      <c r="C28" s="55" t="s">
        <v>101</v>
      </c>
      <c r="D28" s="56"/>
      <c r="E28" s="56">
        <v>22000</v>
      </c>
      <c r="F28" s="56">
        <v>0</v>
      </c>
      <c r="G28" s="56">
        <v>300</v>
      </c>
      <c r="H28" s="49">
        <f>FEB!N29</f>
        <v>-150</v>
      </c>
      <c r="I28" s="57">
        <f t="shared" si="1"/>
        <v>22150</v>
      </c>
      <c r="J28" s="58">
        <f>22300</f>
        <v>22300</v>
      </c>
      <c r="K28" s="59" t="s">
        <v>248</v>
      </c>
      <c r="L28" s="59" t="s">
        <v>220</v>
      </c>
      <c r="M28" s="60"/>
      <c r="N28" s="57">
        <f t="shared" si="0"/>
        <v>-150</v>
      </c>
      <c r="O28" s="57"/>
      <c r="P28" s="57"/>
      <c r="Q28" s="63"/>
      <c r="R28" s="64"/>
    </row>
    <row r="29" spans="1:20" ht="18.75">
      <c r="A29" s="54" t="s">
        <v>55</v>
      </c>
      <c r="B29" s="37" t="s">
        <v>102</v>
      </c>
      <c r="C29" s="55" t="s">
        <v>103</v>
      </c>
      <c r="D29" s="56"/>
      <c r="E29" s="56">
        <v>20000</v>
      </c>
      <c r="F29" s="56">
        <v>750</v>
      </c>
      <c r="G29" s="56">
        <v>300</v>
      </c>
      <c r="H29" s="49">
        <f>FEB!N30</f>
        <v>-100</v>
      </c>
      <c r="I29" s="57">
        <f t="shared" si="1"/>
        <v>20950</v>
      </c>
      <c r="J29" s="58">
        <f>21000</f>
        <v>21000</v>
      </c>
      <c r="K29" s="59" t="s">
        <v>242</v>
      </c>
      <c r="L29" s="59" t="s">
        <v>241</v>
      </c>
      <c r="M29" s="60"/>
      <c r="N29" s="57">
        <f t="shared" si="0"/>
        <v>-50</v>
      </c>
      <c r="O29" s="57"/>
      <c r="P29" s="57"/>
      <c r="Q29" s="63"/>
      <c r="R29" s="64" t="s">
        <v>173</v>
      </c>
    </row>
    <row r="30" spans="1:20" ht="18.75">
      <c r="A30" s="54" t="s">
        <v>56</v>
      </c>
      <c r="B30" s="37" t="s">
        <v>104</v>
      </c>
      <c r="C30" s="55" t="s">
        <v>105</v>
      </c>
      <c r="D30" s="56"/>
      <c r="E30" s="56">
        <v>20000</v>
      </c>
      <c r="F30" s="56">
        <v>1050</v>
      </c>
      <c r="G30" s="56">
        <v>300</v>
      </c>
      <c r="H30" s="49">
        <f>FEB!N31</f>
        <v>0</v>
      </c>
      <c r="I30" s="57">
        <f t="shared" si="1"/>
        <v>21350</v>
      </c>
      <c r="J30" s="58">
        <f>21350</f>
        <v>21350</v>
      </c>
      <c r="K30" s="59" t="s">
        <v>218</v>
      </c>
      <c r="L30" s="59" t="s">
        <v>217</v>
      </c>
      <c r="M30" s="60"/>
      <c r="N30" s="57">
        <f t="shared" si="0"/>
        <v>0</v>
      </c>
      <c r="O30" s="57"/>
      <c r="P30" s="57"/>
      <c r="Q30" s="63"/>
      <c r="R30" s="64" t="s">
        <v>173</v>
      </c>
    </row>
    <row r="31" spans="1:20" ht="22.5" customHeight="1">
      <c r="A31" s="54" t="s">
        <v>57</v>
      </c>
      <c r="B31" s="37" t="s">
        <v>145</v>
      </c>
      <c r="C31" s="55" t="s">
        <v>106</v>
      </c>
      <c r="D31" s="56"/>
      <c r="E31" s="56">
        <v>21000</v>
      </c>
      <c r="F31" s="56">
        <v>450</v>
      </c>
      <c r="G31" s="56">
        <v>300</v>
      </c>
      <c r="H31" s="49">
        <f>FEB!N32</f>
        <v>0</v>
      </c>
      <c r="I31" s="57">
        <f t="shared" si="1"/>
        <v>21750</v>
      </c>
      <c r="J31" s="58">
        <f>21750</f>
        <v>21750</v>
      </c>
      <c r="K31" s="59" t="s">
        <v>238</v>
      </c>
      <c r="L31" s="59" t="s">
        <v>236</v>
      </c>
      <c r="M31" s="60"/>
      <c r="N31" s="57">
        <f t="shared" si="0"/>
        <v>0</v>
      </c>
      <c r="O31" s="57"/>
      <c r="P31" s="57"/>
      <c r="Q31" s="63"/>
      <c r="R31" s="64" t="s">
        <v>173</v>
      </c>
    </row>
    <row r="32" spans="1:20" ht="18.75">
      <c r="A32" s="54" t="s">
        <v>58</v>
      </c>
      <c r="B32" s="37" t="s">
        <v>107</v>
      </c>
      <c r="C32" s="55" t="s">
        <v>108</v>
      </c>
      <c r="D32" s="56"/>
      <c r="E32" s="56">
        <v>20000</v>
      </c>
      <c r="F32" s="56">
        <v>900</v>
      </c>
      <c r="G32" s="56">
        <v>300</v>
      </c>
      <c r="H32" s="49">
        <f>FEB!N33</f>
        <v>0</v>
      </c>
      <c r="I32" s="57">
        <f t="shared" si="1"/>
        <v>21200</v>
      </c>
      <c r="J32" s="58">
        <f>21200</f>
        <v>21200</v>
      </c>
      <c r="K32" s="59" t="s">
        <v>222</v>
      </c>
      <c r="L32" s="59" t="s">
        <v>220</v>
      </c>
      <c r="M32" s="60"/>
      <c r="N32" s="57">
        <f t="shared" si="0"/>
        <v>0</v>
      </c>
      <c r="O32" s="57"/>
      <c r="P32" s="57"/>
      <c r="Q32" s="63"/>
      <c r="R32" s="64"/>
    </row>
    <row r="33" spans="1:18" ht="18.75">
      <c r="A33" s="54" t="s">
        <v>59</v>
      </c>
      <c r="B33" s="37" t="s">
        <v>109</v>
      </c>
      <c r="C33" s="55" t="s">
        <v>110</v>
      </c>
      <c r="D33" s="56"/>
      <c r="E33" s="56">
        <v>12000</v>
      </c>
      <c r="F33" s="56">
        <v>300</v>
      </c>
      <c r="G33" s="56">
        <v>300</v>
      </c>
      <c r="H33" s="49">
        <f>FEB!N34</f>
        <v>0</v>
      </c>
      <c r="I33" s="57">
        <f t="shared" si="1"/>
        <v>12600</v>
      </c>
      <c r="J33" s="58">
        <f>4500+8100</f>
        <v>12600</v>
      </c>
      <c r="K33" s="59" t="s">
        <v>233</v>
      </c>
      <c r="L33" s="59" t="s">
        <v>234</v>
      </c>
      <c r="M33" s="60"/>
      <c r="N33" s="57">
        <f t="shared" si="0"/>
        <v>0</v>
      </c>
      <c r="O33" s="57"/>
      <c r="P33" s="57"/>
      <c r="Q33" s="63" t="s">
        <v>183</v>
      </c>
      <c r="R33" s="64"/>
    </row>
    <row r="34" spans="1:18" ht="18.75">
      <c r="A34" s="54" t="s">
        <v>60</v>
      </c>
      <c r="B34" s="37" t="s">
        <v>111</v>
      </c>
      <c r="C34" s="55" t="s">
        <v>112</v>
      </c>
      <c r="D34" s="56"/>
      <c r="E34" s="56">
        <v>20000</v>
      </c>
      <c r="F34" s="56">
        <v>450</v>
      </c>
      <c r="G34" s="56">
        <v>300</v>
      </c>
      <c r="H34" s="49">
        <f>FEB!N35</f>
        <v>0</v>
      </c>
      <c r="I34" s="57">
        <f t="shared" si="1"/>
        <v>20750</v>
      </c>
      <c r="J34" s="58">
        <f>20750</f>
        <v>20750</v>
      </c>
      <c r="K34" s="59" t="s">
        <v>502</v>
      </c>
      <c r="L34" s="59" t="s">
        <v>214</v>
      </c>
      <c r="M34" s="60"/>
      <c r="N34" s="57">
        <f t="shared" si="0"/>
        <v>0</v>
      </c>
      <c r="O34" s="57"/>
      <c r="P34" s="57"/>
      <c r="Q34" s="63"/>
      <c r="R34" s="64"/>
    </row>
    <row r="35" spans="1:18" ht="18.75">
      <c r="A35" s="54" t="s">
        <v>61</v>
      </c>
      <c r="B35" s="37" t="s">
        <v>113</v>
      </c>
      <c r="C35" s="55" t="s">
        <v>114</v>
      </c>
      <c r="D35" s="56"/>
      <c r="E35" s="56">
        <v>20000</v>
      </c>
      <c r="F35" s="56">
        <v>0</v>
      </c>
      <c r="G35" s="56">
        <v>300</v>
      </c>
      <c r="H35" s="49">
        <f>FEB!N36</f>
        <v>0</v>
      </c>
      <c r="I35" s="57">
        <f t="shared" si="1"/>
        <v>20300</v>
      </c>
      <c r="J35" s="58">
        <f>20300</f>
        <v>20300</v>
      </c>
      <c r="K35" s="59" t="s">
        <v>225</v>
      </c>
      <c r="L35" s="59" t="s">
        <v>226</v>
      </c>
      <c r="M35" s="60"/>
      <c r="N35" s="57">
        <f t="shared" si="0"/>
        <v>0</v>
      </c>
      <c r="O35" s="57"/>
      <c r="P35" s="57"/>
      <c r="Q35" s="63"/>
      <c r="R35" s="64" t="s">
        <v>173</v>
      </c>
    </row>
    <row r="36" spans="1:18" ht="15.75" customHeight="1">
      <c r="A36" s="54" t="s">
        <v>62</v>
      </c>
      <c r="B36" s="37" t="s">
        <v>115</v>
      </c>
      <c r="C36" s="55" t="s">
        <v>116</v>
      </c>
      <c r="D36" s="56"/>
      <c r="E36" s="56">
        <v>22000</v>
      </c>
      <c r="F36" s="56">
        <v>750</v>
      </c>
      <c r="G36" s="56">
        <v>300</v>
      </c>
      <c r="H36" s="49">
        <f>FEB!N37</f>
        <v>0</v>
      </c>
      <c r="I36" s="57">
        <f t="shared" si="1"/>
        <v>23050</v>
      </c>
      <c r="J36" s="58">
        <f>23050</f>
        <v>23050</v>
      </c>
      <c r="K36" s="59" t="s">
        <v>232</v>
      </c>
      <c r="L36" s="59" t="s">
        <v>231</v>
      </c>
      <c r="M36" s="60"/>
      <c r="N36" s="57">
        <f t="shared" si="0"/>
        <v>0</v>
      </c>
      <c r="O36" s="57"/>
      <c r="P36" s="57"/>
      <c r="Q36" s="63"/>
      <c r="R36" s="64" t="s">
        <v>173</v>
      </c>
    </row>
    <row r="37" spans="1:18" ht="20.25" customHeight="1">
      <c r="A37" s="54" t="s">
        <v>63</v>
      </c>
      <c r="B37" s="37" t="s">
        <v>117</v>
      </c>
      <c r="C37" s="55" t="s">
        <v>118</v>
      </c>
      <c r="D37" s="56"/>
      <c r="E37" s="56">
        <v>21000</v>
      </c>
      <c r="F37" s="56">
        <v>150</v>
      </c>
      <c r="G37" s="56">
        <v>300</v>
      </c>
      <c r="H37" s="49">
        <f>FEB!N38</f>
        <v>-4200</v>
      </c>
      <c r="I37" s="57">
        <f t="shared" si="1"/>
        <v>17250</v>
      </c>
      <c r="J37" s="58">
        <f>20450</f>
        <v>20450</v>
      </c>
      <c r="K37" s="59" t="s">
        <v>253</v>
      </c>
      <c r="L37" s="59" t="s">
        <v>254</v>
      </c>
      <c r="M37" s="60"/>
      <c r="N37" s="57">
        <f t="shared" si="0"/>
        <v>-3200</v>
      </c>
      <c r="O37" s="57"/>
      <c r="P37" s="57"/>
      <c r="Q37" s="63"/>
      <c r="R37" s="64"/>
    </row>
    <row r="38" spans="1:18" ht="21.75" customHeight="1">
      <c r="A38" s="54" t="s">
        <v>64</v>
      </c>
      <c r="B38" s="37" t="s">
        <v>120</v>
      </c>
      <c r="C38" s="55" t="s">
        <v>119</v>
      </c>
      <c r="D38" s="56"/>
      <c r="E38" s="56">
        <v>21000</v>
      </c>
      <c r="F38" s="56">
        <v>0</v>
      </c>
      <c r="G38" s="56">
        <v>300</v>
      </c>
      <c r="H38" s="49">
        <f>FEB!N39</f>
        <v>300</v>
      </c>
      <c r="I38" s="57">
        <f t="shared" si="1"/>
        <v>21600</v>
      </c>
      <c r="J38" s="58">
        <f>21600</f>
        <v>21600</v>
      </c>
      <c r="K38" s="59" t="s">
        <v>228</v>
      </c>
      <c r="L38" s="59" t="s">
        <v>226</v>
      </c>
      <c r="M38" s="60"/>
      <c r="N38" s="57">
        <f t="shared" si="0"/>
        <v>0</v>
      </c>
      <c r="O38" s="57"/>
      <c r="P38" s="57"/>
      <c r="Q38" s="63"/>
      <c r="R38" s="64"/>
    </row>
    <row r="39" spans="1:18" ht="18.75" customHeight="1">
      <c r="A39" s="54" t="s">
        <v>65</v>
      </c>
      <c r="B39" s="37" t="s">
        <v>121</v>
      </c>
      <c r="C39" s="55" t="s">
        <v>122</v>
      </c>
      <c r="D39" s="56"/>
      <c r="E39" s="56">
        <v>20000</v>
      </c>
      <c r="F39" s="56">
        <v>900</v>
      </c>
      <c r="G39" s="56">
        <v>300</v>
      </c>
      <c r="H39" s="49">
        <f>FEB!N40</f>
        <v>300</v>
      </c>
      <c r="I39" s="57">
        <f t="shared" si="1"/>
        <v>21500</v>
      </c>
      <c r="J39" s="58">
        <f>21500</f>
        <v>21500</v>
      </c>
      <c r="K39" s="59" t="s">
        <v>216</v>
      </c>
      <c r="L39" s="59" t="s">
        <v>217</v>
      </c>
      <c r="M39" s="60"/>
      <c r="N39" s="57">
        <f t="shared" si="0"/>
        <v>0</v>
      </c>
      <c r="O39" s="57"/>
      <c r="P39" s="57"/>
      <c r="Q39" s="63"/>
      <c r="R39" s="64"/>
    </row>
    <row r="40" spans="1:18" ht="18.75">
      <c r="A40" s="54" t="s">
        <v>66</v>
      </c>
      <c r="B40" s="37" t="s">
        <v>124</v>
      </c>
      <c r="C40" s="55" t="s">
        <v>123</v>
      </c>
      <c r="D40" s="56"/>
      <c r="E40" s="56">
        <v>20000</v>
      </c>
      <c r="F40" s="56">
        <v>900</v>
      </c>
      <c r="G40" s="56">
        <v>300</v>
      </c>
      <c r="H40" s="49">
        <f>FEB!N41</f>
        <v>0</v>
      </c>
      <c r="I40" s="57">
        <f t="shared" si="1"/>
        <v>21200</v>
      </c>
      <c r="J40" s="58">
        <f>21200</f>
        <v>21200</v>
      </c>
      <c r="K40" s="59" t="s">
        <v>237</v>
      </c>
      <c r="L40" s="59" t="s">
        <v>236</v>
      </c>
      <c r="M40" s="60"/>
      <c r="N40" s="57">
        <f t="shared" si="0"/>
        <v>0</v>
      </c>
      <c r="O40" s="57"/>
      <c r="P40" s="57"/>
      <c r="Q40" s="63"/>
      <c r="R40" s="64" t="s">
        <v>173</v>
      </c>
    </row>
    <row r="41" spans="1:18" ht="18.75">
      <c r="A41" s="54" t="s">
        <v>67</v>
      </c>
      <c r="B41" s="37" t="s">
        <v>125</v>
      </c>
      <c r="C41" s="55" t="s">
        <v>126</v>
      </c>
      <c r="D41" s="61"/>
      <c r="E41" s="56">
        <v>12000</v>
      </c>
      <c r="F41" s="56">
        <v>150</v>
      </c>
      <c r="G41" s="56">
        <v>300</v>
      </c>
      <c r="H41" s="49">
        <f>FEB!N42</f>
        <v>0</v>
      </c>
      <c r="I41" s="57">
        <f t="shared" si="1"/>
        <v>12450</v>
      </c>
      <c r="J41" s="58">
        <f>12450</f>
        <v>12450</v>
      </c>
      <c r="K41" s="59" t="s">
        <v>224</v>
      </c>
      <c r="L41" s="59" t="s">
        <v>220</v>
      </c>
      <c r="M41" s="60"/>
      <c r="N41" s="57">
        <f t="shared" si="0"/>
        <v>0</v>
      </c>
      <c r="O41" s="57"/>
      <c r="P41" s="57"/>
      <c r="Q41" s="63"/>
      <c r="R41" s="64" t="s">
        <v>173</v>
      </c>
    </row>
    <row r="42" spans="1:18" ht="17.25" customHeight="1">
      <c r="A42" s="54" t="s">
        <v>68</v>
      </c>
      <c r="B42" s="37" t="s">
        <v>127</v>
      </c>
      <c r="C42" s="55" t="s">
        <v>128</v>
      </c>
      <c r="D42" s="56"/>
      <c r="E42" s="56">
        <v>20000</v>
      </c>
      <c r="F42" s="56">
        <v>450</v>
      </c>
      <c r="G42" s="56">
        <v>300</v>
      </c>
      <c r="H42" s="49">
        <f>FEB!N43</f>
        <v>-1600</v>
      </c>
      <c r="I42" s="57">
        <f t="shared" si="1"/>
        <v>19150</v>
      </c>
      <c r="J42" s="58">
        <f>20750</f>
        <v>20750</v>
      </c>
      <c r="K42" s="59" t="s">
        <v>251</v>
      </c>
      <c r="L42" s="59" t="s">
        <v>252</v>
      </c>
      <c r="M42" s="60"/>
      <c r="N42" s="57">
        <f t="shared" si="0"/>
        <v>-1600</v>
      </c>
      <c r="O42" s="57"/>
      <c r="P42" s="57"/>
      <c r="Q42" s="63" t="s">
        <v>181</v>
      </c>
      <c r="R42" s="64" t="s">
        <v>173</v>
      </c>
    </row>
    <row r="43" spans="1:18" ht="18.75">
      <c r="A43" s="54" t="s">
        <v>69</v>
      </c>
      <c r="B43" s="37" t="s">
        <v>129</v>
      </c>
      <c r="C43" s="55" t="s">
        <v>130</v>
      </c>
      <c r="D43" s="56"/>
      <c r="E43" s="56">
        <v>20000</v>
      </c>
      <c r="F43" s="56">
        <v>150</v>
      </c>
      <c r="G43" s="56">
        <v>300</v>
      </c>
      <c r="H43" s="49">
        <f>FEB!N44</f>
        <v>0</v>
      </c>
      <c r="I43" s="57">
        <f t="shared" si="1"/>
        <v>20450</v>
      </c>
      <c r="J43" s="58">
        <f>20450</f>
        <v>20450</v>
      </c>
      <c r="K43" s="59" t="s">
        <v>223</v>
      </c>
      <c r="L43" s="59" t="s">
        <v>220</v>
      </c>
      <c r="M43" s="60"/>
      <c r="N43" s="57">
        <f t="shared" si="0"/>
        <v>0</v>
      </c>
      <c r="O43" s="57"/>
      <c r="P43" s="57"/>
      <c r="Q43" s="63"/>
      <c r="R43" s="64"/>
    </row>
    <row r="44" spans="1:18" ht="18.75">
      <c r="A44" s="54" t="s">
        <v>70</v>
      </c>
      <c r="B44" s="37" t="s">
        <v>131</v>
      </c>
      <c r="C44" s="55" t="s">
        <v>132</v>
      </c>
      <c r="D44" s="56"/>
      <c r="E44" s="56">
        <v>20000</v>
      </c>
      <c r="F44" s="56">
        <v>150</v>
      </c>
      <c r="G44" s="56">
        <v>300</v>
      </c>
      <c r="H44" s="49">
        <f>FEB!N45</f>
        <v>0</v>
      </c>
      <c r="I44" s="57">
        <f t="shared" si="1"/>
        <v>20450</v>
      </c>
      <c r="J44" s="58">
        <f>20450</f>
        <v>20450</v>
      </c>
      <c r="K44" s="59" t="s">
        <v>240</v>
      </c>
      <c r="L44" s="59" t="s">
        <v>241</v>
      </c>
      <c r="M44" s="60"/>
      <c r="N44" s="57">
        <f t="shared" si="0"/>
        <v>0</v>
      </c>
      <c r="O44" s="57"/>
      <c r="P44" s="57"/>
      <c r="Q44" s="63"/>
      <c r="R44" s="64"/>
    </row>
    <row r="45" spans="1:18" ht="18.75">
      <c r="A45" s="54" t="s">
        <v>71</v>
      </c>
      <c r="B45" s="37" t="s">
        <v>133</v>
      </c>
      <c r="C45" s="55" t="s">
        <v>134</v>
      </c>
      <c r="D45" s="56"/>
      <c r="E45" s="56">
        <v>21000</v>
      </c>
      <c r="F45" s="56">
        <v>450</v>
      </c>
      <c r="G45" s="56">
        <v>300</v>
      </c>
      <c r="H45" s="49">
        <f>FEB!N46</f>
        <v>-21750</v>
      </c>
      <c r="I45" s="57">
        <f t="shared" si="1"/>
        <v>0</v>
      </c>
      <c r="J45" s="58"/>
      <c r="K45" s="59"/>
      <c r="L45" s="59"/>
      <c r="M45" s="60"/>
      <c r="N45" s="57">
        <f t="shared" si="0"/>
        <v>0</v>
      </c>
      <c r="O45" s="57"/>
      <c r="P45" s="57"/>
      <c r="Q45" s="63"/>
      <c r="R45" s="64" t="s">
        <v>173</v>
      </c>
    </row>
    <row r="46" spans="1:18" ht="18.75">
      <c r="A46" s="54" t="s">
        <v>72</v>
      </c>
      <c r="B46" s="37" t="s">
        <v>135</v>
      </c>
      <c r="C46" s="55" t="s">
        <v>136</v>
      </c>
      <c r="D46" s="56"/>
      <c r="E46" s="56">
        <v>12000</v>
      </c>
      <c r="F46" s="56">
        <v>150</v>
      </c>
      <c r="G46" s="56">
        <v>300</v>
      </c>
      <c r="H46" s="49">
        <f>FEB!N47</f>
        <v>0</v>
      </c>
      <c r="I46" s="57">
        <f t="shared" si="1"/>
        <v>12450</v>
      </c>
      <c r="J46" s="58">
        <f>12450</f>
        <v>12450</v>
      </c>
      <c r="K46" s="59" t="s">
        <v>239</v>
      </c>
      <c r="L46" s="59" t="s">
        <v>236</v>
      </c>
      <c r="M46" s="60"/>
      <c r="N46" s="57">
        <f t="shared" si="0"/>
        <v>0</v>
      </c>
      <c r="O46" s="57"/>
      <c r="P46" s="57"/>
      <c r="Q46" s="63"/>
      <c r="R46" s="64"/>
    </row>
    <row r="47" spans="1:18" s="14" customFormat="1" ht="18.75">
      <c r="A47" s="54" t="s">
        <v>73</v>
      </c>
      <c r="B47" s="37" t="s">
        <v>137</v>
      </c>
      <c r="C47" s="55" t="s">
        <v>139</v>
      </c>
      <c r="D47" s="62"/>
      <c r="E47" s="62">
        <v>20000</v>
      </c>
      <c r="F47" s="62">
        <v>900</v>
      </c>
      <c r="G47" s="56">
        <v>300</v>
      </c>
      <c r="H47" s="49">
        <f>FEB!N48</f>
        <v>0</v>
      </c>
      <c r="I47" s="57">
        <f t="shared" si="1"/>
        <v>21200</v>
      </c>
      <c r="J47" s="58">
        <f>21200</f>
        <v>21200</v>
      </c>
      <c r="K47" s="59" t="s">
        <v>230</v>
      </c>
      <c r="L47" s="59" t="s">
        <v>231</v>
      </c>
      <c r="M47" s="60"/>
      <c r="N47" s="57">
        <f t="shared" si="0"/>
        <v>0</v>
      </c>
      <c r="O47" s="57"/>
      <c r="P47" s="57"/>
      <c r="Q47" s="63"/>
      <c r="R47" s="64" t="s">
        <v>173</v>
      </c>
    </row>
    <row r="48" spans="1:18" ht="18.75">
      <c r="A48" s="54" t="s">
        <v>74</v>
      </c>
      <c r="B48" s="37" t="s">
        <v>143</v>
      </c>
      <c r="C48" s="55" t="s">
        <v>138</v>
      </c>
      <c r="D48" s="56"/>
      <c r="E48" s="56">
        <v>20000</v>
      </c>
      <c r="F48" s="56">
        <v>150</v>
      </c>
      <c r="G48" s="56">
        <v>300</v>
      </c>
      <c r="H48" s="49">
        <f>FEB!N49</f>
        <v>0</v>
      </c>
      <c r="I48" s="57">
        <f t="shared" si="1"/>
        <v>20450</v>
      </c>
      <c r="J48" s="58">
        <f>20750+20300+300</f>
        <v>41350</v>
      </c>
      <c r="K48" s="59" t="s">
        <v>260</v>
      </c>
      <c r="L48" s="59" t="s">
        <v>261</v>
      </c>
      <c r="M48" s="60"/>
      <c r="N48" s="57">
        <f t="shared" si="0"/>
        <v>-20900</v>
      </c>
      <c r="O48" s="57"/>
      <c r="P48" s="57"/>
      <c r="Q48" s="63"/>
      <c r="R48" s="64"/>
    </row>
    <row r="49" spans="1:18" ht="18.75">
      <c r="A49" s="65" t="s">
        <v>20</v>
      </c>
      <c r="B49" s="66"/>
      <c r="C49" s="67"/>
      <c r="D49" s="68">
        <f>SUM(D10:D48)</f>
        <v>46400</v>
      </c>
      <c r="E49" s="68">
        <f>SUM(E10:E48)</f>
        <v>739000</v>
      </c>
      <c r="F49" s="68"/>
      <c r="G49" s="68">
        <f>SUM(G10:G48)</f>
        <v>11400</v>
      </c>
      <c r="H49" s="69">
        <f>SUM(H10:H48)</f>
        <v>49250</v>
      </c>
      <c r="I49" s="57">
        <f>SUM(I10:I48)</f>
        <v>860660</v>
      </c>
      <c r="J49" s="70">
        <f>SUM(J10:J48)</f>
        <v>865710</v>
      </c>
      <c r="K49" s="59"/>
      <c r="L49" s="59"/>
      <c r="M49" s="68"/>
      <c r="N49" s="68">
        <f>SUM(N10:N48)</f>
        <v>-5050</v>
      </c>
      <c r="O49" s="68"/>
      <c r="P49" s="68"/>
      <c r="Q49" s="71"/>
      <c r="R49" s="71"/>
    </row>
    <row r="50" spans="1:18" ht="18.75">
      <c r="A50" s="36"/>
      <c r="B50" s="37"/>
      <c r="C50" s="67"/>
      <c r="D50" s="72"/>
      <c r="E50" s="73">
        <v>0</v>
      </c>
      <c r="F50" s="73"/>
      <c r="G50" s="73"/>
      <c r="H50" s="74"/>
      <c r="I50" s="73"/>
      <c r="J50" s="73"/>
      <c r="K50" s="36"/>
      <c r="L50" s="36"/>
      <c r="M50" s="36"/>
      <c r="N50" s="57"/>
      <c r="O50" s="57"/>
      <c r="P50" s="57"/>
      <c r="Q50" s="73"/>
      <c r="R50" s="73"/>
    </row>
    <row r="51" spans="1:18" ht="18.75">
      <c r="A51" s="75" t="s">
        <v>21</v>
      </c>
      <c r="B51" s="37"/>
      <c r="C51" s="67"/>
      <c r="D51" s="72"/>
      <c r="E51" s="73"/>
      <c r="F51" s="73"/>
      <c r="G51" s="73"/>
      <c r="H51" s="74"/>
      <c r="I51" s="73"/>
      <c r="J51" s="73"/>
      <c r="K51" s="36"/>
      <c r="L51" s="36"/>
      <c r="M51" s="36"/>
      <c r="N51" s="57"/>
      <c r="O51" s="57"/>
      <c r="P51" s="57"/>
      <c r="Q51" s="73"/>
      <c r="R51" s="73"/>
    </row>
    <row r="52" spans="1:18" s="26" customFormat="1" ht="18.75">
      <c r="A52" s="37" t="s">
        <v>22</v>
      </c>
      <c r="B52" s="37"/>
      <c r="C52" s="67"/>
      <c r="D52" s="37"/>
      <c r="E52" s="37"/>
      <c r="F52" s="37"/>
      <c r="G52" s="37"/>
      <c r="H52" s="49"/>
      <c r="I52" s="37"/>
      <c r="J52" s="76">
        <f>J49*5%</f>
        <v>43285.5</v>
      </c>
      <c r="K52" s="37"/>
      <c r="L52" s="37"/>
      <c r="M52" s="37"/>
      <c r="N52" s="57"/>
      <c r="O52" s="57"/>
      <c r="P52" s="57"/>
      <c r="Q52" s="45"/>
      <c r="R52" s="37"/>
    </row>
    <row r="53" spans="1:18" ht="21">
      <c r="A53" s="45" t="s">
        <v>23</v>
      </c>
      <c r="B53" s="45"/>
      <c r="C53" s="45"/>
      <c r="D53" s="45"/>
      <c r="E53" s="45"/>
      <c r="F53" s="45"/>
      <c r="G53" s="45"/>
      <c r="H53" s="69"/>
      <c r="I53" s="45"/>
      <c r="J53" s="77">
        <f>SUM(J52:J52)</f>
        <v>43285.5</v>
      </c>
      <c r="K53" s="45"/>
      <c r="L53" s="45"/>
      <c r="M53" s="37"/>
      <c r="N53" s="45"/>
      <c r="O53" s="45"/>
      <c r="P53" s="45"/>
      <c r="Q53" s="45"/>
      <c r="R53" s="45"/>
    </row>
    <row r="54" spans="1:18" ht="21">
      <c r="A54" s="45"/>
      <c r="B54" s="45"/>
      <c r="C54" s="45"/>
      <c r="D54" s="45"/>
      <c r="E54" s="45"/>
      <c r="F54" s="45"/>
      <c r="G54" s="45"/>
      <c r="H54" s="69"/>
      <c r="I54" s="45"/>
      <c r="J54" s="77"/>
      <c r="K54" s="45"/>
      <c r="L54" s="45"/>
      <c r="M54" s="37"/>
      <c r="N54" s="45"/>
      <c r="O54" s="45"/>
      <c r="P54" s="45"/>
      <c r="Q54" s="45"/>
      <c r="R54" s="45"/>
    </row>
    <row r="55" spans="1:18" ht="18.75">
      <c r="A55" s="37" t="s">
        <v>24</v>
      </c>
      <c r="B55" s="37"/>
      <c r="C55" s="37"/>
      <c r="D55" s="37"/>
      <c r="E55" s="37"/>
      <c r="F55" s="37"/>
      <c r="G55" s="37"/>
      <c r="H55" s="49"/>
      <c r="I55" s="37"/>
      <c r="J55" s="78">
        <f>FEB!N57</f>
        <v>350</v>
      </c>
      <c r="K55" s="79" t="s">
        <v>25</v>
      </c>
      <c r="L55" s="79"/>
      <c r="M55" s="79" t="s">
        <v>26</v>
      </c>
      <c r="N55" s="79" t="s">
        <v>27</v>
      </c>
      <c r="O55" s="80"/>
      <c r="P55" s="80"/>
      <c r="Q55" s="66"/>
      <c r="R55" s="66"/>
    </row>
    <row r="56" spans="1:18" ht="19.5" thickBot="1">
      <c r="A56" s="36" t="s">
        <v>28</v>
      </c>
      <c r="B56" s="36"/>
      <c r="C56" s="36"/>
      <c r="D56" s="36"/>
      <c r="E56" s="36"/>
      <c r="F56" s="36"/>
      <c r="G56" s="36"/>
      <c r="H56" s="74"/>
      <c r="I56" s="45"/>
      <c r="J56" s="81">
        <f>J53+J55</f>
        <v>43635.5</v>
      </c>
      <c r="K56" s="69">
        <v>35850</v>
      </c>
      <c r="L56" s="69"/>
      <c r="M56" s="69"/>
      <c r="N56" s="82">
        <f>J56-K56-M56</f>
        <v>7785.5</v>
      </c>
      <c r="O56" s="83"/>
      <c r="P56" s="83"/>
      <c r="Q56" s="66"/>
      <c r="R56" s="66"/>
    </row>
    <row r="57" spans="1:18" ht="19.5" thickTop="1">
      <c r="A57" s="37" t="s">
        <v>29</v>
      </c>
      <c r="B57" s="37"/>
      <c r="C57" s="37"/>
      <c r="D57" s="37"/>
      <c r="E57" s="37"/>
      <c r="F57" s="37"/>
      <c r="G57" s="37"/>
      <c r="H57" s="49"/>
      <c r="I57" s="37"/>
      <c r="J57" s="37"/>
      <c r="K57" s="37"/>
      <c r="L57" s="37"/>
      <c r="M57" s="37"/>
      <c r="N57" s="84">
        <v>46053</v>
      </c>
      <c r="O57" s="84"/>
      <c r="P57" s="84"/>
      <c r="Q57" s="85"/>
      <c r="R57" s="84"/>
    </row>
    <row r="61" spans="1:18">
      <c r="J61" s="5">
        <f>J49/I49*100</f>
        <v>100.58675899890781</v>
      </c>
    </row>
    <row r="64" spans="1:18">
      <c r="I64" s="33"/>
    </row>
    <row r="65" spans="9:9">
      <c r="I65" s="33"/>
    </row>
    <row r="107" spans="1:1">
      <c r="A107" s="5" t="s">
        <v>31</v>
      </c>
    </row>
  </sheetData>
  <mergeCells count="1">
    <mergeCell ref="A3:N3"/>
  </mergeCells>
  <pageMargins left="0.7" right="0.7" top="0.75" bottom="0.75" header="0.3" footer="0.3"/>
  <pageSetup scale="5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5670-69BC-4BE7-BDF8-56264DFD5FE3}">
  <sheetPr>
    <pageSetUpPr fitToPage="1"/>
  </sheetPr>
  <dimension ref="A1:R108"/>
  <sheetViews>
    <sheetView topLeftCell="A9" zoomScale="60" zoomScaleNormal="60" workbookViewId="0">
      <selection activeCell="A17" sqref="A17:XFD17"/>
    </sheetView>
  </sheetViews>
  <sheetFormatPr defaultColWidth="9" defaultRowHeight="12"/>
  <cols>
    <col min="1" max="1" width="7.5703125" style="5" customWidth="1"/>
    <col min="2" max="2" width="19.42578125" style="5" customWidth="1"/>
    <col min="3" max="3" width="17" style="5" customWidth="1"/>
    <col min="4" max="4" width="18.140625" style="5" customWidth="1"/>
    <col min="5" max="7" width="12.5703125" style="5" customWidth="1"/>
    <col min="8" max="8" width="9.7109375" style="5" customWidth="1"/>
    <col min="9" max="9" width="19.140625" style="5" customWidth="1"/>
    <col min="10" max="10" width="21" style="5" customWidth="1"/>
    <col min="11" max="12" width="32.7109375" style="5" customWidth="1"/>
    <col min="13" max="13" width="8.42578125" style="5" customWidth="1"/>
    <col min="14" max="14" width="18.42578125" style="5" customWidth="1"/>
    <col min="15" max="15" width="30.140625" style="5" customWidth="1"/>
    <col min="16" max="16" width="11.5703125" style="5" customWidth="1"/>
    <col min="17" max="16384" width="9" style="5"/>
  </cols>
  <sheetData>
    <row r="1" spans="1:17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3"/>
      <c r="P1" s="43"/>
    </row>
    <row r="2" spans="1:17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3"/>
      <c r="P2" s="43"/>
    </row>
    <row r="3" spans="1:17" ht="18.75">
      <c r="A3" s="120" t="s">
        <v>265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36"/>
      <c r="P3" s="36"/>
    </row>
    <row r="4" spans="1:17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44"/>
      <c r="P4" s="44"/>
    </row>
    <row r="5" spans="1:17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44"/>
      <c r="P5" s="44"/>
    </row>
    <row r="6" spans="1:17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44"/>
      <c r="P6" s="44"/>
    </row>
    <row r="7" spans="1:17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44"/>
      <c r="P7" s="44"/>
    </row>
    <row r="8" spans="1:17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44"/>
      <c r="P8" s="44"/>
    </row>
    <row r="9" spans="1:17" ht="56.25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210</v>
      </c>
      <c r="M9" s="36" t="s">
        <v>17</v>
      </c>
      <c r="N9" s="41" t="s">
        <v>18</v>
      </c>
      <c r="O9" s="41" t="s">
        <v>30</v>
      </c>
      <c r="P9" s="41" t="s">
        <v>19</v>
      </c>
    </row>
    <row r="10" spans="1:17" ht="18.75">
      <c r="A10" s="54" t="s">
        <v>37</v>
      </c>
      <c r="B10" s="37" t="s">
        <v>140</v>
      </c>
      <c r="C10" s="55" t="s">
        <v>79</v>
      </c>
      <c r="D10" s="56"/>
      <c r="E10" s="56">
        <v>11000</v>
      </c>
      <c r="F10" s="56">
        <v>150</v>
      </c>
      <c r="G10" s="56">
        <v>300</v>
      </c>
      <c r="H10" s="49">
        <f>MARCH!N10</f>
        <v>0</v>
      </c>
      <c r="I10" s="57">
        <f>D10+E10+F10+G10+H10</f>
        <v>11450</v>
      </c>
      <c r="J10" s="58">
        <v>11750</v>
      </c>
      <c r="K10" s="59" t="s">
        <v>280</v>
      </c>
      <c r="L10" s="59"/>
      <c r="M10" s="60" t="s">
        <v>264</v>
      </c>
      <c r="N10" s="57">
        <f t="shared" ref="N10:N48" si="0">I10-J10</f>
        <v>-300</v>
      </c>
      <c r="O10" s="63"/>
      <c r="P10" s="64" t="s">
        <v>173</v>
      </c>
    </row>
    <row r="11" spans="1:17" ht="18.75">
      <c r="A11" s="54" t="s">
        <v>38</v>
      </c>
      <c r="B11" s="37" t="s">
        <v>80</v>
      </c>
      <c r="C11" s="55" t="s">
        <v>81</v>
      </c>
      <c r="D11" s="56"/>
      <c r="E11" s="56">
        <v>21000</v>
      </c>
      <c r="F11" s="56">
        <v>750</v>
      </c>
      <c r="G11" s="56">
        <v>300</v>
      </c>
      <c r="H11" s="49">
        <f>MARCH!N11</f>
        <v>44250</v>
      </c>
      <c r="I11" s="57">
        <f t="shared" ref="I11:I47" si="1">D11+E11+F11+G11+H11</f>
        <v>66300</v>
      </c>
      <c r="J11" s="58"/>
      <c r="K11" s="59"/>
      <c r="L11" s="59"/>
      <c r="M11" s="60" t="s">
        <v>264</v>
      </c>
      <c r="N11" s="57">
        <f t="shared" si="0"/>
        <v>66300</v>
      </c>
      <c r="O11" s="63" t="s">
        <v>327</v>
      </c>
      <c r="P11" s="64"/>
      <c r="Q11" s="5" t="s">
        <v>281</v>
      </c>
    </row>
    <row r="12" spans="1:17" ht="18.75">
      <c r="A12" s="54" t="s">
        <v>39</v>
      </c>
      <c r="B12" s="37" t="s">
        <v>82</v>
      </c>
      <c r="C12" s="55" t="s">
        <v>83</v>
      </c>
      <c r="D12" s="56"/>
      <c r="E12" s="56">
        <v>22000</v>
      </c>
      <c r="F12" s="56">
        <v>1050</v>
      </c>
      <c r="G12" s="56">
        <v>300</v>
      </c>
      <c r="H12" s="49">
        <f>MARCH!N12</f>
        <v>0</v>
      </c>
      <c r="I12" s="57">
        <f t="shared" si="1"/>
        <v>23350</v>
      </c>
      <c r="J12" s="58">
        <v>22450</v>
      </c>
      <c r="K12" s="59"/>
      <c r="L12" s="59"/>
      <c r="M12" s="60" t="s">
        <v>264</v>
      </c>
      <c r="N12" s="57">
        <f t="shared" si="0"/>
        <v>900</v>
      </c>
      <c r="O12" s="63"/>
      <c r="P12" s="64" t="s">
        <v>173</v>
      </c>
    </row>
    <row r="13" spans="1:17" ht="18.75">
      <c r="A13" s="54" t="s">
        <v>40</v>
      </c>
      <c r="B13" s="37" t="s">
        <v>84</v>
      </c>
      <c r="C13" s="55" t="s">
        <v>85</v>
      </c>
      <c r="D13" s="56"/>
      <c r="E13" s="56">
        <v>20000</v>
      </c>
      <c r="F13" s="56">
        <v>750</v>
      </c>
      <c r="G13" s="56">
        <v>300</v>
      </c>
      <c r="H13" s="49">
        <f>MARCH!N13</f>
        <v>0</v>
      </c>
      <c r="I13" s="57">
        <f t="shared" si="1"/>
        <v>21050</v>
      </c>
      <c r="J13" s="58">
        <v>21750</v>
      </c>
      <c r="K13" s="59" t="s">
        <v>271</v>
      </c>
      <c r="L13" s="59"/>
      <c r="M13" s="60" t="s">
        <v>264</v>
      </c>
      <c r="N13" s="57">
        <f t="shared" si="0"/>
        <v>-700</v>
      </c>
      <c r="O13" s="63"/>
      <c r="P13" s="64" t="s">
        <v>173</v>
      </c>
    </row>
    <row r="14" spans="1:17" ht="18.75">
      <c r="A14" s="54" t="s">
        <v>41</v>
      </c>
      <c r="B14" s="37" t="s">
        <v>197</v>
      </c>
      <c r="C14" s="55" t="s">
        <v>198</v>
      </c>
      <c r="D14" s="56"/>
      <c r="E14" s="56">
        <v>21000</v>
      </c>
      <c r="F14" s="56">
        <v>750</v>
      </c>
      <c r="G14" s="56">
        <v>300</v>
      </c>
      <c r="H14" s="49">
        <f>MARCH!N14</f>
        <v>-21000</v>
      </c>
      <c r="I14" s="57">
        <f t="shared" si="1"/>
        <v>1050</v>
      </c>
      <c r="J14" s="58"/>
      <c r="K14" s="59"/>
      <c r="L14" s="87"/>
      <c r="M14" s="60" t="s">
        <v>264</v>
      </c>
      <c r="N14" s="57">
        <f t="shared" si="0"/>
        <v>1050</v>
      </c>
      <c r="O14" s="63"/>
      <c r="P14" s="64"/>
      <c r="Q14" s="5" t="s">
        <v>282</v>
      </c>
    </row>
    <row r="15" spans="1:17" ht="18.75" customHeight="1">
      <c r="A15" s="54" t="s">
        <v>42</v>
      </c>
      <c r="B15" s="37" t="s">
        <v>171</v>
      </c>
      <c r="C15" s="55" t="s">
        <v>78</v>
      </c>
      <c r="D15" s="56"/>
      <c r="E15" s="56">
        <v>21000</v>
      </c>
      <c r="F15" s="56">
        <v>450</v>
      </c>
      <c r="G15" s="56">
        <v>300</v>
      </c>
      <c r="H15" s="49">
        <f>MARCH!N15</f>
        <v>-1300</v>
      </c>
      <c r="I15" s="57">
        <f t="shared" si="1"/>
        <v>20450</v>
      </c>
      <c r="J15" s="58">
        <v>22500</v>
      </c>
      <c r="K15" s="59" t="s">
        <v>299</v>
      </c>
      <c r="L15" s="59"/>
      <c r="M15" s="60" t="s">
        <v>264</v>
      </c>
      <c r="N15" s="57">
        <f t="shared" si="0"/>
        <v>-2050</v>
      </c>
      <c r="O15" s="63"/>
      <c r="P15" s="64" t="s">
        <v>173</v>
      </c>
      <c r="Q15" s="5" t="s">
        <v>283</v>
      </c>
    </row>
    <row r="16" spans="1:17" ht="18.75">
      <c r="A16" s="54" t="s">
        <v>152</v>
      </c>
      <c r="B16" s="37" t="s">
        <v>160</v>
      </c>
      <c r="C16" s="55" t="s">
        <v>161</v>
      </c>
      <c r="D16" s="56"/>
      <c r="E16" s="56">
        <v>21000</v>
      </c>
      <c r="F16" s="56">
        <v>300</v>
      </c>
      <c r="G16" s="56">
        <v>300</v>
      </c>
      <c r="H16" s="49">
        <f>MARCH!N16</f>
        <v>0</v>
      </c>
      <c r="I16" s="57">
        <f t="shared" si="1"/>
        <v>21600</v>
      </c>
      <c r="J16" s="58">
        <v>21750</v>
      </c>
      <c r="K16" s="59" t="s">
        <v>277</v>
      </c>
      <c r="L16" s="86">
        <v>46177</v>
      </c>
      <c r="M16" s="60" t="s">
        <v>264</v>
      </c>
      <c r="N16" s="57">
        <f t="shared" si="0"/>
        <v>-150</v>
      </c>
      <c r="O16" s="63"/>
      <c r="P16" s="64"/>
    </row>
    <row r="17" spans="1:18" ht="18.75">
      <c r="A17" s="54" t="s">
        <v>43</v>
      </c>
      <c r="B17" s="37" t="s">
        <v>141</v>
      </c>
      <c r="C17" s="55" t="s">
        <v>86</v>
      </c>
      <c r="D17" s="56"/>
      <c r="E17" s="56">
        <v>12000</v>
      </c>
      <c r="F17" s="56">
        <v>750</v>
      </c>
      <c r="G17" s="56">
        <v>300</v>
      </c>
      <c r="H17" s="49">
        <f>MARCH!N17</f>
        <v>-50</v>
      </c>
      <c r="I17" s="57">
        <f t="shared" si="1"/>
        <v>13000</v>
      </c>
      <c r="J17" s="58">
        <v>12450</v>
      </c>
      <c r="K17" s="59" t="s">
        <v>320</v>
      </c>
      <c r="L17" s="59"/>
      <c r="M17" s="60" t="s">
        <v>264</v>
      </c>
      <c r="N17" s="57">
        <f t="shared" si="0"/>
        <v>550</v>
      </c>
      <c r="O17" s="63"/>
      <c r="P17" s="64" t="s">
        <v>284</v>
      </c>
    </row>
    <row r="18" spans="1:18" ht="18.75">
      <c r="A18" s="54" t="s">
        <v>44</v>
      </c>
      <c r="B18" s="37" t="s">
        <v>169</v>
      </c>
      <c r="C18" s="55" t="s">
        <v>170</v>
      </c>
      <c r="D18" s="56"/>
      <c r="E18" s="56">
        <v>20000</v>
      </c>
      <c r="F18" s="56">
        <v>450</v>
      </c>
      <c r="G18" s="56">
        <v>300</v>
      </c>
      <c r="H18" s="49">
        <f>MARCH!N18</f>
        <v>-21650</v>
      </c>
      <c r="I18" s="57">
        <f t="shared" si="1"/>
        <v>-900</v>
      </c>
      <c r="J18" s="58">
        <v>21000</v>
      </c>
      <c r="K18" s="59" t="s">
        <v>294</v>
      </c>
      <c r="L18" s="59"/>
      <c r="M18" s="60" t="s">
        <v>264</v>
      </c>
      <c r="N18" s="57">
        <f t="shared" si="0"/>
        <v>-21900</v>
      </c>
      <c r="O18" s="63"/>
      <c r="P18" s="64" t="s">
        <v>173</v>
      </c>
    </row>
    <row r="19" spans="1:18" ht="23.25" customHeight="1">
      <c r="A19" s="54" t="s">
        <v>45</v>
      </c>
      <c r="B19" s="37" t="s">
        <v>87</v>
      </c>
      <c r="C19" s="55" t="s">
        <v>88</v>
      </c>
      <c r="D19" s="56"/>
      <c r="E19" s="56">
        <v>20000</v>
      </c>
      <c r="F19" s="56">
        <v>600</v>
      </c>
      <c r="G19" s="56">
        <v>300</v>
      </c>
      <c r="H19" s="49">
        <f>MARCH!N19</f>
        <v>450</v>
      </c>
      <c r="I19" s="57">
        <f t="shared" si="1"/>
        <v>21350</v>
      </c>
      <c r="J19" s="58">
        <v>20700</v>
      </c>
      <c r="K19" s="59" t="s">
        <v>274</v>
      </c>
      <c r="L19" s="59"/>
      <c r="M19" s="60" t="s">
        <v>264</v>
      </c>
      <c r="N19" s="57">
        <f t="shared" si="0"/>
        <v>650</v>
      </c>
      <c r="O19" s="63"/>
      <c r="P19" s="64"/>
    </row>
    <row r="20" spans="1:18" ht="18.75">
      <c r="A20" s="54" t="s">
        <v>46</v>
      </c>
      <c r="B20" s="37" t="s">
        <v>195</v>
      </c>
      <c r="C20" s="55" t="s">
        <v>89</v>
      </c>
      <c r="D20" s="56"/>
      <c r="E20" s="56">
        <v>20000</v>
      </c>
      <c r="F20" s="56">
        <v>450</v>
      </c>
      <c r="G20" s="56">
        <v>300</v>
      </c>
      <c r="H20" s="49">
        <f>MARCH!N20</f>
        <v>-3700</v>
      </c>
      <c r="I20" s="57">
        <f t="shared" si="1"/>
        <v>17050</v>
      </c>
      <c r="J20" s="58">
        <v>22390</v>
      </c>
      <c r="K20" s="59" t="s">
        <v>298</v>
      </c>
      <c r="L20" s="59"/>
      <c r="M20" s="60" t="s">
        <v>264</v>
      </c>
      <c r="N20" s="57">
        <f t="shared" si="0"/>
        <v>-5340</v>
      </c>
      <c r="O20" s="63" t="s">
        <v>168</v>
      </c>
      <c r="P20" s="64"/>
      <c r="Q20" s="5" t="s">
        <v>281</v>
      </c>
    </row>
    <row r="21" spans="1:18" ht="18.75">
      <c r="A21" s="54" t="s">
        <v>47</v>
      </c>
      <c r="B21" s="37" t="s">
        <v>190</v>
      </c>
      <c r="C21" s="55" t="s">
        <v>90</v>
      </c>
      <c r="D21" s="56"/>
      <c r="E21" s="56">
        <v>20000</v>
      </c>
      <c r="F21" s="56">
        <v>390.00000000000023</v>
      </c>
      <c r="G21" s="56">
        <v>300</v>
      </c>
      <c r="H21" s="49">
        <f>MARCH!N21</f>
        <v>3100</v>
      </c>
      <c r="I21" s="57">
        <f t="shared" si="1"/>
        <v>23790</v>
      </c>
      <c r="J21" s="58">
        <v>15000</v>
      </c>
      <c r="K21" s="59" t="s">
        <v>321</v>
      </c>
      <c r="L21" s="59"/>
      <c r="M21" s="60" t="s">
        <v>264</v>
      </c>
      <c r="N21" s="57">
        <f t="shared" si="0"/>
        <v>8790</v>
      </c>
      <c r="O21" s="63" t="s">
        <v>189</v>
      </c>
      <c r="P21" s="64"/>
    </row>
    <row r="22" spans="1:18" ht="18.75">
      <c r="A22" s="54" t="s">
        <v>48</v>
      </c>
      <c r="B22" s="37" t="s">
        <v>91</v>
      </c>
      <c r="C22" s="55" t="s">
        <v>92</v>
      </c>
      <c r="D22" s="56"/>
      <c r="E22" s="56">
        <v>21000</v>
      </c>
      <c r="F22" s="56">
        <v>450</v>
      </c>
      <c r="G22" s="56">
        <v>300</v>
      </c>
      <c r="H22" s="49">
        <f>MARCH!N22</f>
        <v>0</v>
      </c>
      <c r="I22" s="57">
        <f t="shared" si="1"/>
        <v>21750</v>
      </c>
      <c r="J22" s="58">
        <v>21600</v>
      </c>
      <c r="K22" s="59" t="s">
        <v>297</v>
      </c>
      <c r="L22" s="59"/>
      <c r="M22" s="60" t="s">
        <v>264</v>
      </c>
      <c r="N22" s="57">
        <f t="shared" si="0"/>
        <v>150</v>
      </c>
      <c r="O22" s="63"/>
      <c r="P22" s="64"/>
    </row>
    <row r="23" spans="1:18" ht="18.75">
      <c r="A23" s="54" t="s">
        <v>49</v>
      </c>
      <c r="B23" s="37" t="s">
        <v>93</v>
      </c>
      <c r="C23" s="55" t="s">
        <v>94</v>
      </c>
      <c r="D23" s="56"/>
      <c r="E23" s="56">
        <v>21000</v>
      </c>
      <c r="F23" s="56">
        <v>1050</v>
      </c>
      <c r="G23" s="56">
        <v>300</v>
      </c>
      <c r="H23" s="49">
        <f>MARCH!N23</f>
        <v>-21750</v>
      </c>
      <c r="I23" s="57">
        <f t="shared" si="1"/>
        <v>600</v>
      </c>
      <c r="J23" s="58"/>
      <c r="K23" s="59"/>
      <c r="L23" s="87" t="s">
        <v>285</v>
      </c>
      <c r="M23" s="60" t="s">
        <v>264</v>
      </c>
      <c r="N23" s="57">
        <f t="shared" si="0"/>
        <v>600</v>
      </c>
      <c r="O23" s="63"/>
      <c r="P23" s="64"/>
    </row>
    <row r="24" spans="1:18" ht="18.75">
      <c r="A24" s="54" t="s">
        <v>50</v>
      </c>
      <c r="B24" s="37" t="s">
        <v>187</v>
      </c>
      <c r="C24" s="55" t="s">
        <v>95</v>
      </c>
      <c r="D24" s="56"/>
      <c r="E24" s="56">
        <v>21000</v>
      </c>
      <c r="F24" s="56">
        <v>750</v>
      </c>
      <c r="G24" s="56">
        <v>300</v>
      </c>
      <c r="H24" s="49">
        <f>MARCH!N24</f>
        <v>42500</v>
      </c>
      <c r="I24" s="57">
        <f t="shared" si="1"/>
        <v>64550</v>
      </c>
      <c r="J24" s="58">
        <v>20000</v>
      </c>
      <c r="K24" s="59" t="s">
        <v>269</v>
      </c>
      <c r="L24" s="59"/>
      <c r="M24" s="60" t="s">
        <v>264</v>
      </c>
      <c r="N24" s="57">
        <f t="shared" si="0"/>
        <v>44550</v>
      </c>
      <c r="O24" s="63"/>
      <c r="P24" s="64"/>
    </row>
    <row r="25" spans="1:18" ht="18.75">
      <c r="A25" s="54" t="s">
        <v>51</v>
      </c>
      <c r="B25" s="37" t="s">
        <v>96</v>
      </c>
      <c r="C25" s="55"/>
      <c r="D25" s="56"/>
      <c r="E25" s="56"/>
      <c r="F25" s="56">
        <v>900</v>
      </c>
      <c r="G25" s="56"/>
      <c r="H25" s="49">
        <f>MARCH!N25</f>
        <v>0</v>
      </c>
      <c r="I25" s="57">
        <f t="shared" si="1"/>
        <v>900</v>
      </c>
      <c r="J25" s="58"/>
      <c r="K25" s="59"/>
      <c r="L25" s="59"/>
      <c r="M25" s="60" t="s">
        <v>264</v>
      </c>
      <c r="N25" s="57">
        <f t="shared" si="0"/>
        <v>900</v>
      </c>
      <c r="O25" s="63"/>
      <c r="P25" s="64"/>
    </row>
    <row r="26" spans="1:18" ht="18.75">
      <c r="A26" s="54" t="s">
        <v>52</v>
      </c>
      <c r="B26" s="37" t="s">
        <v>203</v>
      </c>
      <c r="C26" s="55" t="s">
        <v>204</v>
      </c>
      <c r="D26" s="56"/>
      <c r="E26" s="56">
        <v>22000</v>
      </c>
      <c r="F26" s="56">
        <v>300</v>
      </c>
      <c r="G26" s="56">
        <v>300</v>
      </c>
      <c r="H26" s="49">
        <f>MARCH!N26</f>
        <v>0</v>
      </c>
      <c r="I26" s="57">
        <f t="shared" si="1"/>
        <v>22600</v>
      </c>
      <c r="J26" s="58">
        <v>22000</v>
      </c>
      <c r="K26" s="59" t="s">
        <v>286</v>
      </c>
      <c r="L26" s="59"/>
      <c r="M26" s="60" t="s">
        <v>264</v>
      </c>
      <c r="N26" s="57">
        <f t="shared" si="0"/>
        <v>600</v>
      </c>
      <c r="O26" s="63"/>
      <c r="P26" s="64"/>
    </row>
    <row r="27" spans="1:18" ht="18.75">
      <c r="A27" s="54" t="s">
        <v>53</v>
      </c>
      <c r="B27" s="37" t="s">
        <v>99</v>
      </c>
      <c r="C27" s="55" t="s">
        <v>100</v>
      </c>
      <c r="D27" s="56"/>
      <c r="E27" s="56">
        <v>21000</v>
      </c>
      <c r="F27" s="56">
        <v>450</v>
      </c>
      <c r="G27" s="56">
        <v>300</v>
      </c>
      <c r="H27" s="49">
        <f>MARCH!N27</f>
        <v>0</v>
      </c>
      <c r="I27" s="57">
        <f t="shared" si="1"/>
        <v>21750</v>
      </c>
      <c r="J27" s="58">
        <v>22500</v>
      </c>
      <c r="K27" s="59" t="s">
        <v>270</v>
      </c>
      <c r="L27" s="59"/>
      <c r="M27" s="60" t="s">
        <v>264</v>
      </c>
      <c r="N27" s="57">
        <f t="shared" si="0"/>
        <v>-750</v>
      </c>
      <c r="O27" s="63"/>
      <c r="P27" s="64" t="s">
        <v>173</v>
      </c>
      <c r="R27" s="5" t="s">
        <v>180</v>
      </c>
    </row>
    <row r="28" spans="1:18" ht="18.75">
      <c r="A28" s="54" t="s">
        <v>54</v>
      </c>
      <c r="B28" s="37" t="s">
        <v>142</v>
      </c>
      <c r="C28" s="55" t="s">
        <v>101</v>
      </c>
      <c r="D28" s="56"/>
      <c r="E28" s="56">
        <v>22000</v>
      </c>
      <c r="F28" s="56">
        <v>1500</v>
      </c>
      <c r="G28" s="56">
        <v>300</v>
      </c>
      <c r="H28" s="49">
        <f>MARCH!N28</f>
        <v>-150</v>
      </c>
      <c r="I28" s="57">
        <f t="shared" si="1"/>
        <v>23650</v>
      </c>
      <c r="J28" s="58">
        <v>22400</v>
      </c>
      <c r="K28" s="59" t="s">
        <v>325</v>
      </c>
      <c r="L28" s="59" t="s">
        <v>326</v>
      </c>
      <c r="M28" s="60" t="s">
        <v>264</v>
      </c>
      <c r="N28" s="57">
        <f t="shared" si="0"/>
        <v>1250</v>
      </c>
      <c r="O28" s="63"/>
      <c r="P28" s="64"/>
      <c r="Q28" s="5" t="s">
        <v>281</v>
      </c>
    </row>
    <row r="29" spans="1:18" ht="18.75">
      <c r="A29" s="54" t="s">
        <v>55</v>
      </c>
      <c r="B29" s="37" t="s">
        <v>102</v>
      </c>
      <c r="C29" s="55" t="s">
        <v>103</v>
      </c>
      <c r="D29" s="56"/>
      <c r="E29" s="56">
        <v>20000</v>
      </c>
      <c r="F29" s="56">
        <v>300</v>
      </c>
      <c r="G29" s="56">
        <v>300</v>
      </c>
      <c r="H29" s="49">
        <f>MARCH!N29</f>
        <v>-50</v>
      </c>
      <c r="I29" s="57">
        <f t="shared" si="1"/>
        <v>20550</v>
      </c>
      <c r="J29" s="58">
        <v>21000</v>
      </c>
      <c r="K29" s="59" t="s">
        <v>279</v>
      </c>
      <c r="L29" s="59"/>
      <c r="M29" s="60" t="s">
        <v>264</v>
      </c>
      <c r="N29" s="57">
        <f t="shared" si="0"/>
        <v>-450</v>
      </c>
      <c r="O29" s="63"/>
      <c r="P29" s="64" t="s">
        <v>173</v>
      </c>
    </row>
    <row r="30" spans="1:18" ht="18.75">
      <c r="A30" s="54" t="s">
        <v>56</v>
      </c>
      <c r="B30" s="37" t="s">
        <v>104</v>
      </c>
      <c r="C30" s="55" t="s">
        <v>105</v>
      </c>
      <c r="D30" s="56"/>
      <c r="E30" s="56">
        <v>20000</v>
      </c>
      <c r="F30" s="56">
        <v>750</v>
      </c>
      <c r="G30" s="56">
        <v>300</v>
      </c>
      <c r="H30" s="49">
        <f>MARCH!N30</f>
        <v>0</v>
      </c>
      <c r="I30" s="57">
        <f t="shared" si="1"/>
        <v>21050</v>
      </c>
      <c r="J30" s="58">
        <v>21350</v>
      </c>
      <c r="K30" s="59" t="s">
        <v>272</v>
      </c>
      <c r="L30" s="59"/>
      <c r="M30" s="60" t="s">
        <v>264</v>
      </c>
      <c r="N30" s="57">
        <f t="shared" si="0"/>
        <v>-300</v>
      </c>
      <c r="O30" s="63"/>
      <c r="P30" s="64" t="s">
        <v>173</v>
      </c>
    </row>
    <row r="31" spans="1:18" ht="22.5" customHeight="1">
      <c r="A31" s="54" t="s">
        <v>57</v>
      </c>
      <c r="B31" s="37" t="s">
        <v>145</v>
      </c>
      <c r="C31" s="55" t="s">
        <v>106</v>
      </c>
      <c r="D31" s="56"/>
      <c r="E31" s="56">
        <v>21000</v>
      </c>
      <c r="F31" s="56">
        <v>1350</v>
      </c>
      <c r="G31" s="56">
        <v>300</v>
      </c>
      <c r="H31" s="49">
        <f>MARCH!N31</f>
        <v>0</v>
      </c>
      <c r="I31" s="57">
        <f t="shared" si="1"/>
        <v>22650</v>
      </c>
      <c r="J31" s="58">
        <v>21750</v>
      </c>
      <c r="K31" s="59" t="s">
        <v>287</v>
      </c>
      <c r="L31" s="59"/>
      <c r="M31" s="60" t="s">
        <v>264</v>
      </c>
      <c r="N31" s="57">
        <f t="shared" si="0"/>
        <v>900</v>
      </c>
      <c r="O31" s="63"/>
      <c r="P31" s="64" t="s">
        <v>173</v>
      </c>
    </row>
    <row r="32" spans="1:18" ht="18.75">
      <c r="A32" s="54" t="s">
        <v>58</v>
      </c>
      <c r="B32" s="37" t="s">
        <v>107</v>
      </c>
      <c r="C32" s="55" t="s">
        <v>108</v>
      </c>
      <c r="D32" s="56"/>
      <c r="E32" s="56">
        <v>20000</v>
      </c>
      <c r="F32" s="56">
        <v>750</v>
      </c>
      <c r="G32" s="56">
        <v>300</v>
      </c>
      <c r="H32" s="49">
        <f>MARCH!N32</f>
        <v>0</v>
      </c>
      <c r="I32" s="57">
        <f t="shared" si="1"/>
        <v>21050</v>
      </c>
      <c r="J32" s="58"/>
      <c r="K32" s="59"/>
      <c r="L32" s="59"/>
      <c r="M32" s="60" t="s">
        <v>264</v>
      </c>
      <c r="N32" s="57">
        <f t="shared" si="0"/>
        <v>21050</v>
      </c>
      <c r="O32" s="63"/>
      <c r="P32" s="64"/>
    </row>
    <row r="33" spans="1:17" ht="18.75">
      <c r="A33" s="54" t="s">
        <v>59</v>
      </c>
      <c r="B33" s="37" t="s">
        <v>109</v>
      </c>
      <c r="C33" s="55" t="s">
        <v>110</v>
      </c>
      <c r="D33" s="56"/>
      <c r="E33" s="56">
        <v>12000</v>
      </c>
      <c r="F33" s="56">
        <v>900</v>
      </c>
      <c r="G33" s="56">
        <v>300</v>
      </c>
      <c r="H33" s="49">
        <f>MARCH!N33</f>
        <v>0</v>
      </c>
      <c r="I33" s="57">
        <f t="shared" si="1"/>
        <v>13200</v>
      </c>
      <c r="J33" s="58">
        <v>5000</v>
      </c>
      <c r="K33" s="59" t="s">
        <v>268</v>
      </c>
      <c r="L33" s="59"/>
      <c r="M33" s="60" t="s">
        <v>264</v>
      </c>
      <c r="N33" s="57">
        <f t="shared" si="0"/>
        <v>8200</v>
      </c>
      <c r="O33" s="63"/>
      <c r="P33" s="64"/>
    </row>
    <row r="34" spans="1:17" ht="18.75">
      <c r="A34" s="54" t="s">
        <v>60</v>
      </c>
      <c r="B34" s="37" t="s">
        <v>111</v>
      </c>
      <c r="C34" s="55" t="s">
        <v>112</v>
      </c>
      <c r="D34" s="56"/>
      <c r="E34" s="56">
        <v>20000</v>
      </c>
      <c r="F34" s="56">
        <v>600</v>
      </c>
      <c r="G34" s="56">
        <v>300</v>
      </c>
      <c r="H34" s="49">
        <f>MARCH!N34</f>
        <v>0</v>
      </c>
      <c r="I34" s="57">
        <f t="shared" si="1"/>
        <v>20900</v>
      </c>
      <c r="J34" s="58">
        <v>20750</v>
      </c>
      <c r="K34" s="59" t="s">
        <v>288</v>
      </c>
      <c r="L34" s="59"/>
      <c r="M34" s="60" t="s">
        <v>264</v>
      </c>
      <c r="N34" s="57">
        <f t="shared" si="0"/>
        <v>150</v>
      </c>
      <c r="O34" s="63"/>
      <c r="P34" s="64"/>
    </row>
    <row r="35" spans="1:17" ht="18.75">
      <c r="A35" s="54" t="s">
        <v>61</v>
      </c>
      <c r="B35" s="37" t="s">
        <v>113</v>
      </c>
      <c r="C35" s="55" t="s">
        <v>114</v>
      </c>
      <c r="D35" s="56"/>
      <c r="E35" s="56">
        <v>20000</v>
      </c>
      <c r="F35" s="56">
        <v>600</v>
      </c>
      <c r="G35" s="56">
        <v>300</v>
      </c>
      <c r="H35" s="49">
        <f>MARCH!N35</f>
        <v>0</v>
      </c>
      <c r="I35" s="57">
        <f t="shared" si="1"/>
        <v>20900</v>
      </c>
      <c r="J35" s="58">
        <v>20300</v>
      </c>
      <c r="K35" s="59" t="s">
        <v>273</v>
      </c>
      <c r="L35" s="59"/>
      <c r="M35" s="60" t="s">
        <v>264</v>
      </c>
      <c r="N35" s="57">
        <f t="shared" si="0"/>
        <v>600</v>
      </c>
      <c r="O35" s="63"/>
      <c r="P35" s="64" t="s">
        <v>173</v>
      </c>
    </row>
    <row r="36" spans="1:17" ht="15.75" customHeight="1">
      <c r="A36" s="54" t="s">
        <v>62</v>
      </c>
      <c r="B36" s="37" t="s">
        <v>115</v>
      </c>
      <c r="C36" s="55" t="s">
        <v>116</v>
      </c>
      <c r="D36" s="56"/>
      <c r="E36" s="56">
        <v>22000</v>
      </c>
      <c r="F36" s="56">
        <v>300</v>
      </c>
      <c r="G36" s="56">
        <v>300</v>
      </c>
      <c r="H36" s="49">
        <f>MARCH!N36</f>
        <v>0</v>
      </c>
      <c r="I36" s="57">
        <f t="shared" si="1"/>
        <v>22600</v>
      </c>
      <c r="J36" s="58">
        <v>22900</v>
      </c>
      <c r="K36" s="59" t="s">
        <v>295</v>
      </c>
      <c r="L36" s="59"/>
      <c r="M36" s="60" t="s">
        <v>264</v>
      </c>
      <c r="N36" s="57">
        <f t="shared" si="0"/>
        <v>-300</v>
      </c>
      <c r="O36" s="63"/>
      <c r="P36" s="64" t="s">
        <v>173</v>
      </c>
      <c r="Q36" s="5" t="s">
        <v>281</v>
      </c>
    </row>
    <row r="37" spans="1:17" ht="20.25" customHeight="1">
      <c r="A37" s="54" t="s">
        <v>63</v>
      </c>
      <c r="B37" s="37" t="s">
        <v>117</v>
      </c>
      <c r="C37" s="55" t="s">
        <v>118</v>
      </c>
      <c r="D37" s="56"/>
      <c r="E37" s="56">
        <v>21000</v>
      </c>
      <c r="F37" s="56">
        <v>900</v>
      </c>
      <c r="G37" s="56">
        <v>300</v>
      </c>
      <c r="H37" s="49">
        <f>MARCH!N37</f>
        <v>-3200</v>
      </c>
      <c r="I37" s="57">
        <f t="shared" si="1"/>
        <v>19000</v>
      </c>
      <c r="J37" s="58">
        <v>20750</v>
      </c>
      <c r="K37" s="59" t="s">
        <v>322</v>
      </c>
      <c r="L37" s="59"/>
      <c r="M37" s="60" t="s">
        <v>264</v>
      </c>
      <c r="N37" s="57">
        <f t="shared" si="0"/>
        <v>-1750</v>
      </c>
      <c r="O37" s="63"/>
      <c r="P37" s="64"/>
      <c r="Q37" s="5" t="s">
        <v>289</v>
      </c>
    </row>
    <row r="38" spans="1:17" ht="21.75" customHeight="1">
      <c r="A38" s="54" t="s">
        <v>64</v>
      </c>
      <c r="B38" s="37" t="s">
        <v>120</v>
      </c>
      <c r="C38" s="55" t="s">
        <v>119</v>
      </c>
      <c r="D38" s="56"/>
      <c r="E38" s="56">
        <v>21000</v>
      </c>
      <c r="F38" s="56">
        <v>150</v>
      </c>
      <c r="G38" s="56">
        <v>300</v>
      </c>
      <c r="H38" s="49">
        <f>MARCH!N38</f>
        <v>0</v>
      </c>
      <c r="I38" s="57">
        <f t="shared" si="1"/>
        <v>21450</v>
      </c>
      <c r="J38" s="59">
        <v>21450</v>
      </c>
      <c r="K38" s="59" t="s">
        <v>328</v>
      </c>
      <c r="L38" s="59"/>
      <c r="M38" s="60" t="s">
        <v>264</v>
      </c>
      <c r="N38" s="57">
        <f t="shared" si="0"/>
        <v>0</v>
      </c>
      <c r="O38" s="63"/>
      <c r="P38" s="64"/>
      <c r="Q38" s="5" t="s">
        <v>281</v>
      </c>
    </row>
    <row r="39" spans="1:17" ht="18.75" customHeight="1">
      <c r="A39" s="54" t="s">
        <v>65</v>
      </c>
      <c r="B39" s="37" t="s">
        <v>121</v>
      </c>
      <c r="C39" s="55" t="s">
        <v>122</v>
      </c>
      <c r="D39" s="56"/>
      <c r="E39" s="56">
        <v>20000</v>
      </c>
      <c r="F39" s="56">
        <v>150</v>
      </c>
      <c r="G39" s="56">
        <v>300</v>
      </c>
      <c r="H39" s="49">
        <f>MARCH!N39</f>
        <v>0</v>
      </c>
      <c r="I39" s="57">
        <f t="shared" si="1"/>
        <v>20450</v>
      </c>
      <c r="J39" s="58">
        <v>21350</v>
      </c>
      <c r="K39" s="59" t="s">
        <v>267</v>
      </c>
      <c r="L39" s="59"/>
      <c r="M39" s="60" t="s">
        <v>264</v>
      </c>
      <c r="N39" s="57">
        <f t="shared" si="0"/>
        <v>-900</v>
      </c>
      <c r="O39" s="63"/>
      <c r="P39" s="64"/>
    </row>
    <row r="40" spans="1:17" ht="18.75">
      <c r="A40" s="54" t="s">
        <v>66</v>
      </c>
      <c r="B40" s="37" t="s">
        <v>124</v>
      </c>
      <c r="C40" s="55" t="s">
        <v>123</v>
      </c>
      <c r="D40" s="56"/>
      <c r="E40" s="56">
        <v>20000</v>
      </c>
      <c r="F40" s="56">
        <v>1350</v>
      </c>
      <c r="G40" s="56">
        <v>300</v>
      </c>
      <c r="H40" s="49">
        <f>MARCH!N40</f>
        <v>0</v>
      </c>
      <c r="I40" s="57">
        <f t="shared" si="1"/>
        <v>21650</v>
      </c>
      <c r="J40" s="58">
        <v>21200</v>
      </c>
      <c r="K40" s="59" t="s">
        <v>293</v>
      </c>
      <c r="L40" s="59"/>
      <c r="M40" s="60" t="s">
        <v>264</v>
      </c>
      <c r="N40" s="57">
        <f t="shared" si="0"/>
        <v>450</v>
      </c>
      <c r="O40" s="63"/>
      <c r="P40" s="64" t="s">
        <v>173</v>
      </c>
    </row>
    <row r="41" spans="1:17" ht="18.75">
      <c r="A41" s="54" t="s">
        <v>67</v>
      </c>
      <c r="B41" s="37" t="s">
        <v>125</v>
      </c>
      <c r="C41" s="55" t="s">
        <v>126</v>
      </c>
      <c r="D41" s="61"/>
      <c r="E41" s="56">
        <v>12000</v>
      </c>
      <c r="F41" s="56">
        <v>150</v>
      </c>
      <c r="G41" s="56">
        <v>300</v>
      </c>
      <c r="H41" s="49">
        <f>MARCH!N41</f>
        <v>0</v>
      </c>
      <c r="I41" s="57">
        <f t="shared" si="1"/>
        <v>12450</v>
      </c>
      <c r="J41" s="58">
        <v>12600</v>
      </c>
      <c r="K41" s="59" t="s">
        <v>323</v>
      </c>
      <c r="L41" s="59"/>
      <c r="M41" s="60" t="s">
        <v>264</v>
      </c>
      <c r="N41" s="57">
        <f t="shared" si="0"/>
        <v>-150</v>
      </c>
      <c r="O41" s="63"/>
      <c r="P41" s="64" t="s">
        <v>173</v>
      </c>
      <c r="Q41" s="88" t="s">
        <v>290</v>
      </c>
    </row>
    <row r="42" spans="1:17" ht="17.25" customHeight="1">
      <c r="A42" s="54" t="s">
        <v>68</v>
      </c>
      <c r="B42" s="37" t="s">
        <v>127</v>
      </c>
      <c r="C42" s="55" t="s">
        <v>128</v>
      </c>
      <c r="D42" s="56"/>
      <c r="E42" s="56">
        <v>20000</v>
      </c>
      <c r="F42" s="56">
        <v>600</v>
      </c>
      <c r="G42" s="56">
        <v>300</v>
      </c>
      <c r="H42" s="49">
        <f>MARCH!N42</f>
        <v>-1600</v>
      </c>
      <c r="I42" s="57">
        <f t="shared" si="1"/>
        <v>19300</v>
      </c>
      <c r="J42" s="58">
        <v>20900</v>
      </c>
      <c r="K42" s="59" t="s">
        <v>324</v>
      </c>
      <c r="L42" s="59"/>
      <c r="M42" s="60" t="s">
        <v>264</v>
      </c>
      <c r="N42" s="57">
        <f t="shared" si="0"/>
        <v>-1600</v>
      </c>
      <c r="O42" s="63" t="s">
        <v>181</v>
      </c>
      <c r="P42" s="64" t="s">
        <v>173</v>
      </c>
      <c r="Q42" s="5" t="s">
        <v>291</v>
      </c>
    </row>
    <row r="43" spans="1:17" ht="18.75">
      <c r="A43" s="54" t="s">
        <v>69</v>
      </c>
      <c r="B43" s="37" t="s">
        <v>129</v>
      </c>
      <c r="C43" s="55" t="s">
        <v>130</v>
      </c>
      <c r="D43" s="56"/>
      <c r="E43" s="56">
        <v>20000</v>
      </c>
      <c r="F43" s="56">
        <v>900</v>
      </c>
      <c r="G43" s="56">
        <v>300</v>
      </c>
      <c r="H43" s="49">
        <f>MARCH!N43</f>
        <v>0</v>
      </c>
      <c r="I43" s="57">
        <f t="shared" si="1"/>
        <v>21200</v>
      </c>
      <c r="J43" s="58">
        <v>20750</v>
      </c>
      <c r="K43" s="59" t="s">
        <v>276</v>
      </c>
      <c r="L43" s="86">
        <v>46177</v>
      </c>
      <c r="M43" s="60" t="s">
        <v>264</v>
      </c>
      <c r="N43" s="57">
        <f t="shared" si="0"/>
        <v>450</v>
      </c>
      <c r="O43" s="63"/>
      <c r="P43" s="64"/>
    </row>
    <row r="44" spans="1:17" ht="18.75">
      <c r="A44" s="54" t="s">
        <v>70</v>
      </c>
      <c r="B44" s="37" t="s">
        <v>131</v>
      </c>
      <c r="C44" s="55" t="s">
        <v>132</v>
      </c>
      <c r="D44" s="56"/>
      <c r="E44" s="56">
        <v>20000</v>
      </c>
      <c r="F44" s="56">
        <v>300</v>
      </c>
      <c r="G44" s="56">
        <v>300</v>
      </c>
      <c r="H44" s="49">
        <f>MARCH!N44</f>
        <v>0</v>
      </c>
      <c r="I44" s="57">
        <f t="shared" si="1"/>
        <v>20600</v>
      </c>
      <c r="J44" s="58">
        <v>20600</v>
      </c>
      <c r="K44" s="59" t="s">
        <v>275</v>
      </c>
      <c r="L44" s="59"/>
      <c r="M44" s="60" t="s">
        <v>264</v>
      </c>
      <c r="N44" s="57">
        <f t="shared" si="0"/>
        <v>0</v>
      </c>
      <c r="O44" s="63"/>
      <c r="P44" s="64"/>
    </row>
    <row r="45" spans="1:17" ht="18.75">
      <c r="A45" s="54" t="s">
        <v>71</v>
      </c>
      <c r="B45" s="37" t="s">
        <v>133</v>
      </c>
      <c r="C45" s="55" t="s">
        <v>134</v>
      </c>
      <c r="D45" s="56"/>
      <c r="E45" s="56">
        <v>21000</v>
      </c>
      <c r="F45" s="56">
        <v>300</v>
      </c>
      <c r="G45" s="56">
        <v>300</v>
      </c>
      <c r="H45" s="49">
        <f>MARCH!N45</f>
        <v>0</v>
      </c>
      <c r="I45" s="57">
        <f t="shared" si="1"/>
        <v>21600</v>
      </c>
      <c r="J45" s="58">
        <v>21750</v>
      </c>
      <c r="K45" s="59" t="s">
        <v>266</v>
      </c>
      <c r="L45" s="86">
        <v>46026</v>
      </c>
      <c r="M45" s="60" t="s">
        <v>264</v>
      </c>
      <c r="N45" s="57">
        <f t="shared" si="0"/>
        <v>-150</v>
      </c>
      <c r="O45" s="63"/>
      <c r="P45" s="64" t="s">
        <v>173</v>
      </c>
    </row>
    <row r="46" spans="1:17" ht="18.75">
      <c r="A46" s="54" t="s">
        <v>72</v>
      </c>
      <c r="B46" s="37" t="s">
        <v>135</v>
      </c>
      <c r="C46" s="55" t="s">
        <v>136</v>
      </c>
      <c r="D46" s="56"/>
      <c r="E46" s="56">
        <v>12000</v>
      </c>
      <c r="F46" s="56">
        <v>750</v>
      </c>
      <c r="G46" s="56">
        <v>300</v>
      </c>
      <c r="H46" s="49">
        <f>MARCH!N46</f>
        <v>0</v>
      </c>
      <c r="I46" s="57">
        <f t="shared" si="1"/>
        <v>13050</v>
      </c>
      <c r="J46" s="58">
        <v>12450</v>
      </c>
      <c r="K46" s="59" t="s">
        <v>296</v>
      </c>
      <c r="L46" s="59"/>
      <c r="M46" s="60" t="s">
        <v>264</v>
      </c>
      <c r="N46" s="57">
        <f t="shared" si="0"/>
        <v>600</v>
      </c>
      <c r="O46" s="63"/>
      <c r="P46" s="64"/>
      <c r="Q46" s="5" t="s">
        <v>292</v>
      </c>
    </row>
    <row r="47" spans="1:17" s="14" customFormat="1" ht="18.75">
      <c r="A47" s="54" t="s">
        <v>73</v>
      </c>
      <c r="B47" s="37" t="s">
        <v>137</v>
      </c>
      <c r="C47" s="55" t="s">
        <v>139</v>
      </c>
      <c r="D47" s="62"/>
      <c r="E47" s="62">
        <v>20000</v>
      </c>
      <c r="F47" s="62">
        <v>300</v>
      </c>
      <c r="G47" s="56">
        <v>300</v>
      </c>
      <c r="H47" s="49">
        <f>MARCH!N47</f>
        <v>0</v>
      </c>
      <c r="I47" s="57">
        <f t="shared" si="1"/>
        <v>20600</v>
      </c>
      <c r="J47" s="58">
        <v>20000</v>
      </c>
      <c r="K47" s="59" t="s">
        <v>278</v>
      </c>
      <c r="L47" s="59"/>
      <c r="M47" s="60" t="s">
        <v>264</v>
      </c>
      <c r="N47" s="57">
        <f t="shared" si="0"/>
        <v>600</v>
      </c>
      <c r="O47" s="63"/>
      <c r="P47" s="64" t="s">
        <v>173</v>
      </c>
    </row>
    <row r="48" spans="1:17" ht="18.75">
      <c r="A48" s="54" t="s">
        <v>74</v>
      </c>
      <c r="B48" s="37" t="s">
        <v>143</v>
      </c>
      <c r="C48" s="55" t="s">
        <v>138</v>
      </c>
      <c r="D48" s="56"/>
      <c r="E48" s="56">
        <v>20000</v>
      </c>
      <c r="F48" s="56">
        <v>300</v>
      </c>
      <c r="G48" s="56">
        <v>300</v>
      </c>
      <c r="H48" s="49">
        <f>MARCH!N48</f>
        <v>-20900</v>
      </c>
      <c r="I48" s="57">
        <f>D48+E48+F48+G48+H48</f>
        <v>-300</v>
      </c>
      <c r="J48" s="58"/>
      <c r="K48" s="59"/>
      <c r="L48" s="59"/>
      <c r="M48" s="60" t="s">
        <v>264</v>
      </c>
      <c r="N48" s="57">
        <f t="shared" si="0"/>
        <v>-300</v>
      </c>
      <c r="O48" s="63"/>
      <c r="P48" s="64"/>
      <c r="Q48" s="5" t="s">
        <v>281</v>
      </c>
    </row>
    <row r="49" spans="1:16" ht="18.75">
      <c r="A49" s="65" t="s">
        <v>20</v>
      </c>
      <c r="B49" s="66"/>
      <c r="C49" s="67"/>
      <c r="D49" s="68">
        <f>SUM(D10:D48)</f>
        <v>0</v>
      </c>
      <c r="E49" s="68">
        <f>SUM(E10:E48)</f>
        <v>739000</v>
      </c>
      <c r="F49" s="68">
        <v>600</v>
      </c>
      <c r="G49" s="68">
        <f>SUM(G10:G48)</f>
        <v>11400</v>
      </c>
      <c r="H49" s="69">
        <f>SUM(H10:H48)</f>
        <v>-5050</v>
      </c>
      <c r="I49" s="57">
        <f>SUM(I10:I48)</f>
        <v>769290</v>
      </c>
      <c r="J49" s="70">
        <f>SUM(J10:J48)</f>
        <v>647090</v>
      </c>
      <c r="K49" s="59"/>
      <c r="L49" s="59"/>
      <c r="M49" s="68"/>
      <c r="N49" s="68">
        <f>SUM(N10:N48)</f>
        <v>122200</v>
      </c>
      <c r="O49" s="71"/>
      <c r="P49" s="71"/>
    </row>
    <row r="50" spans="1:16" ht="18.75">
      <c r="A50" s="36"/>
      <c r="B50" s="37"/>
      <c r="C50" s="67"/>
      <c r="D50" s="72"/>
      <c r="E50" s="73">
        <v>0</v>
      </c>
      <c r="F50" s="73"/>
      <c r="G50" s="73"/>
      <c r="H50" s="74"/>
      <c r="I50" s="73"/>
      <c r="J50" s="73"/>
      <c r="K50" s="36"/>
      <c r="L50" s="36"/>
      <c r="M50" s="36"/>
      <c r="N50" s="57"/>
      <c r="O50" s="73"/>
      <c r="P50" s="73"/>
    </row>
    <row r="51" spans="1:16" ht="18.75">
      <c r="A51" s="75" t="s">
        <v>21</v>
      </c>
      <c r="B51" s="37"/>
      <c r="C51" s="67"/>
      <c r="D51" s="72"/>
      <c r="E51" s="73"/>
      <c r="F51" s="73"/>
      <c r="G51" s="73"/>
      <c r="H51" s="74"/>
      <c r="I51" s="73"/>
      <c r="J51" s="73"/>
      <c r="K51" s="36"/>
      <c r="L51" s="36"/>
      <c r="M51" s="36"/>
      <c r="N51" s="57"/>
      <c r="O51" s="73"/>
      <c r="P51" s="73"/>
    </row>
    <row r="52" spans="1:16" s="26" customFormat="1" ht="18.75">
      <c r="A52" s="37" t="s">
        <v>22</v>
      </c>
      <c r="B52" s="37"/>
      <c r="C52" s="67"/>
      <c r="D52" s="37"/>
      <c r="E52" s="37"/>
      <c r="F52" s="37"/>
      <c r="G52" s="37"/>
      <c r="H52" s="49"/>
      <c r="I52" s="37"/>
      <c r="J52" s="76">
        <f>J49*5%</f>
        <v>32354.5</v>
      </c>
      <c r="K52" s="37"/>
      <c r="L52" s="37"/>
      <c r="M52" s="37"/>
      <c r="N52" s="57"/>
      <c r="O52" s="45"/>
      <c r="P52" s="37"/>
    </row>
    <row r="53" spans="1:16" s="26" customFormat="1" ht="18.75">
      <c r="A53" s="37" t="s">
        <v>303</v>
      </c>
      <c r="B53" s="37"/>
      <c r="C53" s="67"/>
      <c r="D53" s="37"/>
      <c r="E53" s="37"/>
      <c r="F53" s="37"/>
      <c r="G53" s="37"/>
      <c r="H53" s="49"/>
      <c r="I53" s="37"/>
      <c r="J53" s="76">
        <f>4500</f>
        <v>4500</v>
      </c>
      <c r="K53" s="37"/>
      <c r="L53" s="37"/>
      <c r="M53" s="37"/>
      <c r="N53" s="57"/>
      <c r="O53" s="45"/>
      <c r="P53" s="37"/>
    </row>
    <row r="54" spans="1:16" ht="21">
      <c r="A54" s="45" t="s">
        <v>23</v>
      </c>
      <c r="B54" s="45"/>
      <c r="C54" s="45"/>
      <c r="D54" s="45"/>
      <c r="E54" s="45"/>
      <c r="F54" s="45"/>
      <c r="G54" s="45"/>
      <c r="H54" s="69"/>
      <c r="I54" s="45"/>
      <c r="J54" s="77">
        <f>SUM(J52:J53)</f>
        <v>36854.5</v>
      </c>
      <c r="K54" s="45"/>
      <c r="L54" s="45"/>
      <c r="M54" s="37"/>
      <c r="N54" s="45"/>
      <c r="O54" s="45"/>
      <c r="P54" s="45"/>
    </row>
    <row r="55" spans="1:16" ht="21">
      <c r="A55" s="45"/>
      <c r="B55" s="45"/>
      <c r="C55" s="45"/>
      <c r="D55" s="45"/>
      <c r="E55" s="45"/>
      <c r="F55" s="45"/>
      <c r="G55" s="45"/>
      <c r="H55" s="69"/>
      <c r="I55" s="45"/>
      <c r="J55" s="77"/>
      <c r="K55" s="45"/>
      <c r="L55" s="45"/>
      <c r="M55" s="37"/>
      <c r="N55" s="45"/>
      <c r="O55" s="45"/>
      <c r="P55" s="45"/>
    </row>
    <row r="56" spans="1:16" ht="18.75">
      <c r="A56" s="37" t="s">
        <v>24</v>
      </c>
      <c r="B56" s="37"/>
      <c r="C56" s="37"/>
      <c r="D56" s="37"/>
      <c r="E56" s="37"/>
      <c r="F56" s="37"/>
      <c r="G56" s="37"/>
      <c r="H56" s="49"/>
      <c r="I56" s="37"/>
      <c r="J56" s="78">
        <f>MARCH!N56</f>
        <v>7785.5</v>
      </c>
      <c r="K56" s="79" t="s">
        <v>25</v>
      </c>
      <c r="L56" s="79"/>
      <c r="M56" s="79" t="s">
        <v>26</v>
      </c>
      <c r="N56" s="79" t="s">
        <v>27</v>
      </c>
      <c r="O56" s="66"/>
      <c r="P56" s="66"/>
    </row>
    <row r="57" spans="1:16" ht="19.5" thickBot="1">
      <c r="A57" s="36" t="s">
        <v>28</v>
      </c>
      <c r="B57" s="36"/>
      <c r="C57" s="36"/>
      <c r="D57" s="36"/>
      <c r="E57" s="36"/>
      <c r="F57" s="36"/>
      <c r="G57" s="36"/>
      <c r="H57" s="74"/>
      <c r="I57" s="45"/>
      <c r="J57" s="81">
        <f>J54+J56</f>
        <v>44640</v>
      </c>
      <c r="K57" s="69"/>
      <c r="L57" s="69"/>
      <c r="M57" s="69"/>
      <c r="N57" s="82">
        <f>J57-K57-M57</f>
        <v>44640</v>
      </c>
      <c r="O57" s="66"/>
      <c r="P57" s="66"/>
    </row>
    <row r="58" spans="1:16" ht="19.5" thickTop="1">
      <c r="A58" s="37" t="s">
        <v>29</v>
      </c>
      <c r="B58" s="37"/>
      <c r="C58" s="37"/>
      <c r="D58" s="37"/>
      <c r="E58" s="37"/>
      <c r="F58" s="37"/>
      <c r="G58" s="37"/>
      <c r="H58" s="49"/>
      <c r="I58" s="37"/>
      <c r="J58" s="37"/>
      <c r="K58" s="37"/>
      <c r="L58" s="37"/>
      <c r="M58" s="37"/>
      <c r="N58" s="84">
        <v>46142</v>
      </c>
      <c r="O58" s="85"/>
      <c r="P58" s="84"/>
    </row>
    <row r="62" spans="1:16">
      <c r="J62" s="5">
        <f>J49/I49*100</f>
        <v>84.115223127819164</v>
      </c>
    </row>
    <row r="65" spans="9:9">
      <c r="I65" s="33"/>
    </row>
    <row r="66" spans="9:9">
      <c r="I66" s="33"/>
    </row>
    <row r="108" spans="1:1">
      <c r="A108" s="5" t="s">
        <v>31</v>
      </c>
    </row>
  </sheetData>
  <mergeCells count="1">
    <mergeCell ref="A3:N3"/>
  </mergeCells>
  <pageMargins left="0.7" right="0.7" top="0.75" bottom="0.75" header="0.3" footer="0.3"/>
  <pageSetup scale="5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5C8B-4A45-4F34-B336-2E5821A0A5A0}">
  <sheetPr>
    <pageSetUpPr fitToPage="1"/>
  </sheetPr>
  <dimension ref="A1:Q108"/>
  <sheetViews>
    <sheetView topLeftCell="A19" zoomScale="51" zoomScaleNormal="51" workbookViewId="0">
      <selection activeCell="A45" sqref="A45:XFD45"/>
    </sheetView>
  </sheetViews>
  <sheetFormatPr defaultColWidth="9" defaultRowHeight="12"/>
  <cols>
    <col min="1" max="1" width="7.5703125" style="5" customWidth="1"/>
    <col min="2" max="2" width="33.5703125" style="5" customWidth="1"/>
    <col min="3" max="3" width="17" style="5" customWidth="1"/>
    <col min="4" max="4" width="18.140625" style="5" customWidth="1"/>
    <col min="5" max="7" width="12.5703125" style="5" customWidth="1"/>
    <col min="8" max="8" width="17.28515625" style="5" customWidth="1"/>
    <col min="9" max="9" width="19.140625" style="5" customWidth="1"/>
    <col min="10" max="10" width="21" style="5" customWidth="1"/>
    <col min="11" max="12" width="32.7109375" style="5" customWidth="1"/>
    <col min="13" max="13" width="8.42578125" style="5" customWidth="1"/>
    <col min="14" max="14" width="18.42578125" style="5" customWidth="1"/>
    <col min="15" max="15" width="16.7109375" style="5" customWidth="1"/>
    <col min="16" max="16" width="18.42578125" style="5" customWidth="1"/>
    <col min="17" max="16384" width="9" style="5"/>
  </cols>
  <sheetData>
    <row r="1" spans="1:16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3"/>
      <c r="P1" s="43"/>
    </row>
    <row r="2" spans="1:16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3"/>
      <c r="P2" s="43"/>
    </row>
    <row r="3" spans="1:16" ht="18.75">
      <c r="A3" s="120" t="s">
        <v>305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36"/>
      <c r="P3" s="36"/>
    </row>
    <row r="4" spans="1:16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44"/>
      <c r="P4" s="44"/>
    </row>
    <row r="5" spans="1:16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44"/>
      <c r="P5" s="44"/>
    </row>
    <row r="6" spans="1:16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44"/>
      <c r="P6" s="44"/>
    </row>
    <row r="7" spans="1:16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44"/>
      <c r="P7" s="44"/>
    </row>
    <row r="8" spans="1:16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44"/>
      <c r="P8" s="44"/>
    </row>
    <row r="9" spans="1:16" ht="56.25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210</v>
      </c>
      <c r="M9" s="36" t="s">
        <v>17</v>
      </c>
      <c r="N9" s="41" t="s">
        <v>18</v>
      </c>
      <c r="O9" s="41" t="s">
        <v>30</v>
      </c>
      <c r="P9" s="41" t="s">
        <v>19</v>
      </c>
    </row>
    <row r="10" spans="1:16" ht="18.75">
      <c r="A10" s="54" t="s">
        <v>37</v>
      </c>
      <c r="B10" s="37" t="s">
        <v>140</v>
      </c>
      <c r="C10" s="55" t="s">
        <v>79</v>
      </c>
      <c r="D10" s="56"/>
      <c r="E10" s="56">
        <v>11000</v>
      </c>
      <c r="F10" s="56">
        <v>150</v>
      </c>
      <c r="G10" s="56">
        <v>300</v>
      </c>
      <c r="H10" s="49">
        <f>APR!N10</f>
        <v>-300</v>
      </c>
      <c r="I10" s="57">
        <f t="shared" ref="I10:I48" si="0">D10+E10+F10+G10+H10</f>
        <v>11150</v>
      </c>
      <c r="J10" s="58">
        <v>10750</v>
      </c>
      <c r="K10" s="59" t="s">
        <v>330</v>
      </c>
      <c r="L10" s="59"/>
      <c r="M10" s="60" t="s">
        <v>304</v>
      </c>
      <c r="N10" s="57">
        <f t="shared" ref="N10:N48" si="1">I10-J10</f>
        <v>400</v>
      </c>
      <c r="O10" s="63"/>
      <c r="P10" s="57" t="s">
        <v>173</v>
      </c>
    </row>
    <row r="11" spans="1:16" ht="18.75">
      <c r="A11" s="54" t="s">
        <v>38</v>
      </c>
      <c r="B11" s="37" t="s">
        <v>80</v>
      </c>
      <c r="C11" s="55" t="s">
        <v>81</v>
      </c>
      <c r="D11" s="56"/>
      <c r="E11" s="56">
        <v>21000</v>
      </c>
      <c r="F11" s="56">
        <v>900</v>
      </c>
      <c r="G11" s="56">
        <v>300</v>
      </c>
      <c r="H11" s="49">
        <f>APR!N11</f>
        <v>66300</v>
      </c>
      <c r="I11" s="57">
        <f t="shared" si="0"/>
        <v>88500</v>
      </c>
      <c r="J11" s="58">
        <f>22050+22050</f>
        <v>44100</v>
      </c>
      <c r="K11" s="59" t="s">
        <v>409</v>
      </c>
      <c r="L11" s="59" t="s">
        <v>410</v>
      </c>
      <c r="M11" s="60" t="s">
        <v>304</v>
      </c>
      <c r="N11" s="57">
        <f t="shared" si="1"/>
        <v>44400</v>
      </c>
      <c r="O11" s="63" t="s">
        <v>348</v>
      </c>
      <c r="P11" s="57" t="s">
        <v>173</v>
      </c>
    </row>
    <row r="12" spans="1:16" ht="18.75">
      <c r="A12" s="54" t="s">
        <v>39</v>
      </c>
      <c r="B12" s="37" t="s">
        <v>82</v>
      </c>
      <c r="C12" s="55" t="s">
        <v>83</v>
      </c>
      <c r="D12" s="56"/>
      <c r="E12" s="56">
        <v>22000</v>
      </c>
      <c r="F12" s="56">
        <v>450</v>
      </c>
      <c r="G12" s="56">
        <v>300</v>
      </c>
      <c r="H12" s="49">
        <v>0</v>
      </c>
      <c r="I12" s="57">
        <f t="shared" si="0"/>
        <v>22750</v>
      </c>
      <c r="J12" s="58">
        <v>23650</v>
      </c>
      <c r="K12" s="59" t="s">
        <v>343</v>
      </c>
      <c r="L12" s="59"/>
      <c r="M12" s="60" t="s">
        <v>304</v>
      </c>
      <c r="N12" s="57">
        <f t="shared" si="1"/>
        <v>-900</v>
      </c>
      <c r="O12" s="63"/>
      <c r="P12" s="57" t="s">
        <v>173</v>
      </c>
    </row>
    <row r="13" spans="1:16" ht="18.75">
      <c r="A13" s="54" t="s">
        <v>40</v>
      </c>
      <c r="B13" s="37" t="s">
        <v>84</v>
      </c>
      <c r="C13" s="55" t="s">
        <v>85</v>
      </c>
      <c r="D13" s="56"/>
      <c r="E13" s="56">
        <v>20000</v>
      </c>
      <c r="F13" s="56">
        <v>600</v>
      </c>
      <c r="G13" s="56">
        <v>300</v>
      </c>
      <c r="H13" s="49">
        <f>APR!N13</f>
        <v>-700</v>
      </c>
      <c r="I13" s="57">
        <f t="shared" si="0"/>
        <v>20200</v>
      </c>
      <c r="J13" s="58">
        <v>20750</v>
      </c>
      <c r="K13" s="59" t="s">
        <v>340</v>
      </c>
      <c r="L13" s="59"/>
      <c r="M13" s="60" t="s">
        <v>304</v>
      </c>
      <c r="N13" s="57">
        <f t="shared" si="1"/>
        <v>-550</v>
      </c>
      <c r="O13" s="63"/>
      <c r="P13" s="57" t="s">
        <v>173</v>
      </c>
    </row>
    <row r="14" spans="1:16" ht="18.75">
      <c r="A14" s="54" t="s">
        <v>41</v>
      </c>
      <c r="B14" s="37" t="s">
        <v>355</v>
      </c>
      <c r="C14" s="55" t="s">
        <v>356</v>
      </c>
      <c r="D14" s="56"/>
      <c r="E14" s="56">
        <v>20000</v>
      </c>
      <c r="F14" s="56">
        <v>600</v>
      </c>
      <c r="G14" s="56"/>
      <c r="H14" s="49"/>
      <c r="I14" s="57">
        <f t="shared" si="0"/>
        <v>20600</v>
      </c>
      <c r="J14" s="58">
        <f>25000+20000</f>
        <v>45000</v>
      </c>
      <c r="K14" s="59" t="s">
        <v>358</v>
      </c>
      <c r="L14" s="87" t="s">
        <v>359</v>
      </c>
      <c r="M14" s="60" t="s">
        <v>304</v>
      </c>
      <c r="N14" s="57">
        <f t="shared" si="1"/>
        <v>-24400</v>
      </c>
      <c r="O14" s="63"/>
      <c r="P14" s="57" t="s">
        <v>173</v>
      </c>
    </row>
    <row r="15" spans="1:16" ht="18.75" customHeight="1">
      <c r="A15" s="54" t="s">
        <v>42</v>
      </c>
      <c r="B15" s="37" t="s">
        <v>171</v>
      </c>
      <c r="C15" s="55" t="s">
        <v>78</v>
      </c>
      <c r="D15" s="56"/>
      <c r="E15" s="56">
        <v>21000</v>
      </c>
      <c r="F15" s="56">
        <v>600</v>
      </c>
      <c r="G15" s="56">
        <v>300</v>
      </c>
      <c r="H15" s="49">
        <f>APR!N15</f>
        <v>-2050</v>
      </c>
      <c r="I15" s="57">
        <f t="shared" si="0"/>
        <v>19850</v>
      </c>
      <c r="J15" s="58">
        <v>22500</v>
      </c>
      <c r="K15" s="59" t="s">
        <v>345</v>
      </c>
      <c r="L15" s="59"/>
      <c r="M15" s="60" t="s">
        <v>304</v>
      </c>
      <c r="N15" s="57">
        <f t="shared" si="1"/>
        <v>-2650</v>
      </c>
      <c r="O15" s="63"/>
      <c r="P15" s="57" t="s">
        <v>173</v>
      </c>
    </row>
    <row r="16" spans="1:16" ht="18.75">
      <c r="A16" s="54" t="s">
        <v>152</v>
      </c>
      <c r="B16" s="37" t="s">
        <v>160</v>
      </c>
      <c r="C16" s="55" t="s">
        <v>161</v>
      </c>
      <c r="D16" s="56"/>
      <c r="E16" s="56">
        <v>21000</v>
      </c>
      <c r="F16" s="56">
        <v>600</v>
      </c>
      <c r="G16" s="56">
        <v>150</v>
      </c>
      <c r="H16" s="49">
        <f>APR!N16</f>
        <v>-150</v>
      </c>
      <c r="I16" s="57">
        <f t="shared" si="0"/>
        <v>21600</v>
      </c>
      <c r="J16" s="58">
        <v>21300</v>
      </c>
      <c r="K16" s="59" t="s">
        <v>318</v>
      </c>
      <c r="L16" s="89" t="s">
        <v>319</v>
      </c>
      <c r="M16" s="60" t="s">
        <v>304</v>
      </c>
      <c r="N16" s="57">
        <f t="shared" si="1"/>
        <v>300</v>
      </c>
      <c r="O16" s="63"/>
      <c r="P16" s="57" t="s">
        <v>173</v>
      </c>
    </row>
    <row r="17" spans="1:17" ht="18.75">
      <c r="A17" s="54" t="s">
        <v>43</v>
      </c>
      <c r="B17" s="37" t="s">
        <v>141</v>
      </c>
      <c r="C17" s="55" t="s">
        <v>86</v>
      </c>
      <c r="D17" s="56"/>
      <c r="E17" s="56">
        <v>12000</v>
      </c>
      <c r="F17" s="56">
        <v>450</v>
      </c>
      <c r="G17" s="56">
        <v>300</v>
      </c>
      <c r="H17" s="49">
        <f>APR!N17</f>
        <v>550</v>
      </c>
      <c r="I17" s="57">
        <f t="shared" si="0"/>
        <v>13300</v>
      </c>
      <c r="J17" s="58">
        <v>9000</v>
      </c>
      <c r="K17" s="59" t="s">
        <v>354</v>
      </c>
      <c r="L17" s="59"/>
      <c r="M17" s="60" t="s">
        <v>304</v>
      </c>
      <c r="N17" s="57">
        <f t="shared" si="1"/>
        <v>4300</v>
      </c>
      <c r="O17" s="63" t="s">
        <v>349</v>
      </c>
      <c r="P17" s="57" t="s">
        <v>173</v>
      </c>
    </row>
    <row r="18" spans="1:17" ht="18.75">
      <c r="A18" s="54" t="s">
        <v>44</v>
      </c>
      <c r="B18" s="37" t="s">
        <v>169</v>
      </c>
      <c r="C18" s="55" t="s">
        <v>170</v>
      </c>
      <c r="D18" s="56"/>
      <c r="E18" s="56">
        <v>20000</v>
      </c>
      <c r="F18" s="56">
        <v>900</v>
      </c>
      <c r="G18" s="56">
        <v>300</v>
      </c>
      <c r="H18" s="49">
        <f>APR!N18</f>
        <v>-21900</v>
      </c>
      <c r="I18" s="57">
        <f t="shared" si="0"/>
        <v>-700</v>
      </c>
      <c r="J18" s="58">
        <v>21000</v>
      </c>
      <c r="K18" s="59" t="s">
        <v>341</v>
      </c>
      <c r="L18" s="59"/>
      <c r="M18" s="60" t="s">
        <v>304</v>
      </c>
      <c r="N18" s="57">
        <f t="shared" si="1"/>
        <v>-21700</v>
      </c>
      <c r="O18" s="63"/>
      <c r="P18" s="57" t="s">
        <v>173</v>
      </c>
    </row>
    <row r="19" spans="1:17" ht="23.25" customHeight="1">
      <c r="A19" s="54" t="s">
        <v>45</v>
      </c>
      <c r="B19" s="37" t="s">
        <v>87</v>
      </c>
      <c r="C19" s="55" t="s">
        <v>88</v>
      </c>
      <c r="D19" s="56"/>
      <c r="E19" s="56">
        <v>20000</v>
      </c>
      <c r="F19" s="56">
        <v>1500</v>
      </c>
      <c r="G19" s="56">
        <v>300</v>
      </c>
      <c r="H19" s="49">
        <f>APR!N19</f>
        <v>650</v>
      </c>
      <c r="I19" s="57">
        <f t="shared" si="0"/>
        <v>22450</v>
      </c>
      <c r="J19" s="58">
        <v>20600</v>
      </c>
      <c r="K19" s="59" t="s">
        <v>347</v>
      </c>
      <c r="L19" s="59"/>
      <c r="M19" s="60" t="s">
        <v>304</v>
      </c>
      <c r="N19" s="57">
        <f t="shared" si="1"/>
        <v>1850</v>
      </c>
      <c r="O19" s="63"/>
      <c r="P19" s="57" t="s">
        <v>173</v>
      </c>
    </row>
    <row r="20" spans="1:17" ht="18.75">
      <c r="A20" s="54" t="s">
        <v>46</v>
      </c>
      <c r="B20" s="37" t="s">
        <v>195</v>
      </c>
      <c r="C20" s="55" t="s">
        <v>89</v>
      </c>
      <c r="D20" s="56"/>
      <c r="E20" s="56">
        <v>20000</v>
      </c>
      <c r="F20" s="56">
        <v>450</v>
      </c>
      <c r="G20" s="56">
        <v>300</v>
      </c>
      <c r="H20" s="49">
        <f>APR!N20</f>
        <v>-5340</v>
      </c>
      <c r="I20" s="57">
        <f t="shared" si="0"/>
        <v>15410</v>
      </c>
      <c r="J20" s="58">
        <v>22450</v>
      </c>
      <c r="K20" s="59" t="s">
        <v>329</v>
      </c>
      <c r="L20" s="59"/>
      <c r="M20" s="60" t="s">
        <v>304</v>
      </c>
      <c r="N20" s="57">
        <f t="shared" si="1"/>
        <v>-7040</v>
      </c>
      <c r="O20" s="63"/>
      <c r="P20" s="57" t="s">
        <v>173</v>
      </c>
    </row>
    <row r="21" spans="1:17" ht="18.75">
      <c r="A21" s="54" t="s">
        <v>47</v>
      </c>
      <c r="B21" s="37" t="s">
        <v>190</v>
      </c>
      <c r="C21" s="55" t="s">
        <v>90</v>
      </c>
      <c r="D21" s="56"/>
      <c r="E21" s="56">
        <v>20000</v>
      </c>
      <c r="F21" s="56">
        <v>450</v>
      </c>
      <c r="G21" s="56">
        <v>300</v>
      </c>
      <c r="H21" s="49">
        <f>APR!N21</f>
        <v>8790</v>
      </c>
      <c r="I21" s="57">
        <f t="shared" si="0"/>
        <v>29540</v>
      </c>
      <c r="J21" s="58">
        <v>20400</v>
      </c>
      <c r="K21" s="59" t="s">
        <v>307</v>
      </c>
      <c r="L21" s="59"/>
      <c r="M21" s="60" t="s">
        <v>304</v>
      </c>
      <c r="N21" s="57">
        <f t="shared" si="1"/>
        <v>9140</v>
      </c>
      <c r="O21" s="63"/>
      <c r="P21" s="57" t="s">
        <v>173</v>
      </c>
    </row>
    <row r="22" spans="1:17" ht="18.75">
      <c r="A22" s="54" t="s">
        <v>48</v>
      </c>
      <c r="B22" s="37" t="s">
        <v>91</v>
      </c>
      <c r="C22" s="55" t="s">
        <v>92</v>
      </c>
      <c r="D22" s="56"/>
      <c r="E22" s="56">
        <v>21000</v>
      </c>
      <c r="F22" s="56">
        <v>450</v>
      </c>
      <c r="G22" s="56">
        <v>300</v>
      </c>
      <c r="H22" s="49">
        <f>APR!N22</f>
        <v>150</v>
      </c>
      <c r="I22" s="57">
        <f t="shared" si="0"/>
        <v>21900</v>
      </c>
      <c r="J22" s="58">
        <v>22050</v>
      </c>
      <c r="K22" s="59" t="s">
        <v>334</v>
      </c>
      <c r="L22" s="59"/>
      <c r="M22" s="60" t="s">
        <v>304</v>
      </c>
      <c r="N22" s="57">
        <f t="shared" si="1"/>
        <v>-150</v>
      </c>
      <c r="O22" s="63"/>
      <c r="P22" s="57" t="s">
        <v>173</v>
      </c>
    </row>
    <row r="23" spans="1:17" ht="18.75">
      <c r="A23" s="54" t="s">
        <v>49</v>
      </c>
      <c r="B23" s="37" t="s">
        <v>93</v>
      </c>
      <c r="C23" s="55" t="s">
        <v>94</v>
      </c>
      <c r="D23" s="56"/>
      <c r="E23" s="56">
        <v>21000</v>
      </c>
      <c r="F23" s="56">
        <v>600</v>
      </c>
      <c r="G23" s="56">
        <v>300</v>
      </c>
      <c r="H23" s="49">
        <f>APR!N23</f>
        <v>600</v>
      </c>
      <c r="I23" s="57">
        <f t="shared" si="0"/>
        <v>22500</v>
      </c>
      <c r="J23" s="58">
        <v>21600</v>
      </c>
      <c r="K23" s="59" t="s">
        <v>317</v>
      </c>
      <c r="L23" s="89">
        <v>46178</v>
      </c>
      <c r="M23" s="60" t="s">
        <v>304</v>
      </c>
      <c r="N23" s="57">
        <f t="shared" si="1"/>
        <v>900</v>
      </c>
      <c r="O23" s="63"/>
      <c r="P23" s="57" t="s">
        <v>173</v>
      </c>
    </row>
    <row r="24" spans="1:17" ht="18.75">
      <c r="A24" s="54" t="s">
        <v>50</v>
      </c>
      <c r="B24" s="37" t="s">
        <v>187</v>
      </c>
      <c r="C24" s="55" t="s">
        <v>95</v>
      </c>
      <c r="D24" s="56"/>
      <c r="E24" s="56">
        <v>21000</v>
      </c>
      <c r="F24" s="56">
        <v>600</v>
      </c>
      <c r="G24" s="56">
        <v>300</v>
      </c>
      <c r="H24" s="49">
        <f>APR!N24</f>
        <v>44550</v>
      </c>
      <c r="I24" s="57">
        <f t="shared" si="0"/>
        <v>66450</v>
      </c>
      <c r="J24" s="58">
        <f>22000+15000</f>
        <v>37000</v>
      </c>
      <c r="K24" s="59" t="s">
        <v>353</v>
      </c>
      <c r="L24" s="59"/>
      <c r="M24" s="60" t="s">
        <v>304</v>
      </c>
      <c r="N24" s="57">
        <f t="shared" si="1"/>
        <v>29450</v>
      </c>
      <c r="O24" s="63" t="s">
        <v>349</v>
      </c>
      <c r="P24" s="57" t="s">
        <v>173</v>
      </c>
    </row>
    <row r="25" spans="1:17" ht="18.75">
      <c r="A25" s="54" t="s">
        <v>51</v>
      </c>
      <c r="B25" s="37" t="s">
        <v>96</v>
      </c>
      <c r="C25" s="55"/>
      <c r="D25" s="56"/>
      <c r="E25" s="56"/>
      <c r="F25" s="56">
        <v>0</v>
      </c>
      <c r="G25" s="56"/>
      <c r="H25" s="49"/>
      <c r="I25" s="57">
        <f t="shared" si="0"/>
        <v>0</v>
      </c>
      <c r="J25" s="58"/>
      <c r="K25" s="59"/>
      <c r="L25" s="59"/>
      <c r="M25" s="60" t="s">
        <v>304</v>
      </c>
      <c r="N25" s="57">
        <f t="shared" si="1"/>
        <v>0</v>
      </c>
      <c r="O25" s="63"/>
      <c r="P25" s="57" t="s">
        <v>173</v>
      </c>
    </row>
    <row r="26" spans="1:17" ht="18.75">
      <c r="A26" s="54" t="s">
        <v>52</v>
      </c>
      <c r="B26" s="37" t="s">
        <v>203</v>
      </c>
      <c r="C26" s="55" t="s">
        <v>204</v>
      </c>
      <c r="D26" s="56"/>
      <c r="E26" s="56">
        <v>22000</v>
      </c>
      <c r="F26" s="56">
        <v>450</v>
      </c>
      <c r="G26" s="56">
        <v>300</v>
      </c>
      <c r="H26" s="49">
        <f>APR!N26</f>
        <v>600</v>
      </c>
      <c r="I26" s="57">
        <f t="shared" si="0"/>
        <v>23350</v>
      </c>
      <c r="J26" s="58">
        <v>22600</v>
      </c>
      <c r="K26" s="59" t="s">
        <v>339</v>
      </c>
      <c r="L26" s="59"/>
      <c r="M26" s="60" t="s">
        <v>304</v>
      </c>
      <c r="N26" s="57">
        <f t="shared" si="1"/>
        <v>750</v>
      </c>
      <c r="O26" s="63"/>
      <c r="P26" s="57" t="s">
        <v>173</v>
      </c>
    </row>
    <row r="27" spans="1:17" ht="18.75">
      <c r="A27" s="54" t="s">
        <v>53</v>
      </c>
      <c r="B27" s="37" t="s">
        <v>99</v>
      </c>
      <c r="C27" s="55" t="s">
        <v>100</v>
      </c>
      <c r="D27" s="56"/>
      <c r="E27" s="56">
        <v>21000</v>
      </c>
      <c r="F27" s="56">
        <v>1350</v>
      </c>
      <c r="G27" s="56">
        <v>300</v>
      </c>
      <c r="H27" s="49">
        <f>APR!N27</f>
        <v>-750</v>
      </c>
      <c r="I27" s="57">
        <f t="shared" si="0"/>
        <v>21900</v>
      </c>
      <c r="J27" s="58">
        <v>22800</v>
      </c>
      <c r="K27" s="59" t="s">
        <v>310</v>
      </c>
      <c r="L27" s="87" t="s">
        <v>311</v>
      </c>
      <c r="M27" s="60" t="s">
        <v>304</v>
      </c>
      <c r="N27" s="57">
        <f t="shared" si="1"/>
        <v>-900</v>
      </c>
      <c r="O27" s="63"/>
      <c r="P27" s="57" t="s">
        <v>173</v>
      </c>
      <c r="Q27" s="5" t="s">
        <v>180</v>
      </c>
    </row>
    <row r="28" spans="1:17" ht="18.75">
      <c r="A28" s="54" t="s">
        <v>54</v>
      </c>
      <c r="B28" s="37" t="s">
        <v>142</v>
      </c>
      <c r="C28" s="55" t="s">
        <v>101</v>
      </c>
      <c r="D28" s="56"/>
      <c r="E28" s="56">
        <v>22000</v>
      </c>
      <c r="F28" s="56">
        <v>300</v>
      </c>
      <c r="G28" s="56">
        <v>300</v>
      </c>
      <c r="H28" s="49">
        <f>APR!N28</f>
        <v>1250</v>
      </c>
      <c r="I28" s="57">
        <f t="shared" si="0"/>
        <v>23850</v>
      </c>
      <c r="J28" s="58">
        <v>44000</v>
      </c>
      <c r="K28" s="59" t="s">
        <v>360</v>
      </c>
      <c r="L28" s="59" t="s">
        <v>361</v>
      </c>
      <c r="M28" s="60" t="s">
        <v>304</v>
      </c>
      <c r="N28" s="57">
        <f t="shared" si="1"/>
        <v>-20150</v>
      </c>
      <c r="O28" s="63"/>
      <c r="P28" s="57" t="s">
        <v>173</v>
      </c>
    </row>
    <row r="29" spans="1:17" ht="18.75">
      <c r="A29" s="54" t="s">
        <v>55</v>
      </c>
      <c r="B29" s="37" t="s">
        <v>331</v>
      </c>
      <c r="C29" s="55"/>
      <c r="D29" s="56"/>
      <c r="E29" s="56"/>
      <c r="F29" s="56">
        <v>300</v>
      </c>
      <c r="G29" s="56"/>
      <c r="H29" s="49"/>
      <c r="I29" s="57">
        <f t="shared" si="0"/>
        <v>300</v>
      </c>
      <c r="J29" s="58"/>
      <c r="K29" s="59"/>
      <c r="L29" s="59"/>
      <c r="M29" s="60" t="s">
        <v>304</v>
      </c>
      <c r="N29" s="57">
        <f t="shared" si="1"/>
        <v>300</v>
      </c>
      <c r="O29" s="63"/>
      <c r="P29" s="57" t="s">
        <v>173</v>
      </c>
    </row>
    <row r="30" spans="1:17" ht="18.75">
      <c r="A30" s="54" t="s">
        <v>56</v>
      </c>
      <c r="B30" s="37" t="s">
        <v>104</v>
      </c>
      <c r="C30" s="55" t="s">
        <v>105</v>
      </c>
      <c r="D30" s="56"/>
      <c r="E30" s="56">
        <v>20000</v>
      </c>
      <c r="F30" s="56">
        <v>600</v>
      </c>
      <c r="G30" s="56">
        <v>300</v>
      </c>
      <c r="H30" s="49">
        <f>APR!N30</f>
        <v>-300</v>
      </c>
      <c r="I30" s="57">
        <f t="shared" si="0"/>
        <v>20600</v>
      </c>
      <c r="J30" s="58">
        <v>21500</v>
      </c>
      <c r="K30" s="59" t="s">
        <v>344</v>
      </c>
      <c r="L30" s="59"/>
      <c r="M30" s="60" t="s">
        <v>304</v>
      </c>
      <c r="N30" s="57">
        <f t="shared" si="1"/>
        <v>-900</v>
      </c>
      <c r="O30" s="63"/>
      <c r="P30" s="57" t="s">
        <v>173</v>
      </c>
    </row>
    <row r="31" spans="1:17" ht="22.5" customHeight="1">
      <c r="A31" s="54" t="s">
        <v>57</v>
      </c>
      <c r="B31" s="37" t="s">
        <v>145</v>
      </c>
      <c r="C31" s="55" t="s">
        <v>106</v>
      </c>
      <c r="D31" s="56"/>
      <c r="E31" s="56">
        <v>21000</v>
      </c>
      <c r="F31" s="56">
        <v>750</v>
      </c>
      <c r="G31" s="56">
        <v>300</v>
      </c>
      <c r="H31" s="49">
        <f>APR!N31</f>
        <v>900</v>
      </c>
      <c r="I31" s="57">
        <f t="shared" si="0"/>
        <v>22950</v>
      </c>
      <c r="J31" s="58">
        <v>21900</v>
      </c>
      <c r="K31" s="59" t="s">
        <v>316</v>
      </c>
      <c r="L31" s="87" t="s">
        <v>311</v>
      </c>
      <c r="M31" s="60" t="s">
        <v>304</v>
      </c>
      <c r="N31" s="57">
        <f t="shared" si="1"/>
        <v>1050</v>
      </c>
      <c r="O31" s="63"/>
      <c r="P31" s="57" t="s">
        <v>173</v>
      </c>
    </row>
    <row r="32" spans="1:17" ht="18.75">
      <c r="A32" s="54" t="s">
        <v>58</v>
      </c>
      <c r="B32" s="37" t="s">
        <v>350</v>
      </c>
      <c r="C32" s="55" t="s">
        <v>351</v>
      </c>
      <c r="D32" s="56">
        <v>22000</v>
      </c>
      <c r="E32" s="56">
        <v>22000</v>
      </c>
      <c r="F32" s="56">
        <v>600</v>
      </c>
      <c r="G32" s="56"/>
      <c r="H32" s="49"/>
      <c r="I32" s="57">
        <f t="shared" si="0"/>
        <v>44600</v>
      </c>
      <c r="J32" s="58">
        <f>22000+22000</f>
        <v>44000</v>
      </c>
      <c r="K32" s="59" t="s">
        <v>352</v>
      </c>
      <c r="L32" s="59"/>
      <c r="M32" s="60" t="s">
        <v>304</v>
      </c>
      <c r="N32" s="57"/>
      <c r="O32" s="63"/>
      <c r="P32" s="57" t="s">
        <v>173</v>
      </c>
    </row>
    <row r="33" spans="1:16" ht="18.75">
      <c r="A33" s="54" t="s">
        <v>59</v>
      </c>
      <c r="B33" s="37" t="s">
        <v>109</v>
      </c>
      <c r="C33" s="55" t="s">
        <v>110</v>
      </c>
      <c r="D33" s="56"/>
      <c r="E33" s="56">
        <v>12000</v>
      </c>
      <c r="F33" s="56">
        <v>750</v>
      </c>
      <c r="G33" s="56">
        <v>300</v>
      </c>
      <c r="H33" s="49">
        <f>APR!N33</f>
        <v>8200</v>
      </c>
      <c r="I33" s="57">
        <f t="shared" si="0"/>
        <v>21250</v>
      </c>
      <c r="J33" s="58">
        <v>7000</v>
      </c>
      <c r="K33" s="59" t="s">
        <v>335</v>
      </c>
      <c r="L33" s="59"/>
      <c r="M33" s="60" t="s">
        <v>304</v>
      </c>
      <c r="N33" s="57">
        <f t="shared" si="1"/>
        <v>14250</v>
      </c>
      <c r="O33" s="63" t="s">
        <v>349</v>
      </c>
      <c r="P33" s="57" t="s">
        <v>173</v>
      </c>
    </row>
    <row r="34" spans="1:16" ht="18.75">
      <c r="A34" s="54" t="s">
        <v>60</v>
      </c>
      <c r="B34" s="37" t="s">
        <v>111</v>
      </c>
      <c r="C34" s="55" t="s">
        <v>112</v>
      </c>
      <c r="D34" s="56"/>
      <c r="E34" s="56">
        <v>20000</v>
      </c>
      <c r="F34" s="56">
        <v>900</v>
      </c>
      <c r="G34" s="56">
        <v>300</v>
      </c>
      <c r="H34" s="49">
        <f>APR!N34</f>
        <v>150</v>
      </c>
      <c r="I34" s="57">
        <f t="shared" si="0"/>
        <v>21350</v>
      </c>
      <c r="J34" s="58">
        <v>20750</v>
      </c>
      <c r="K34" s="59" t="s">
        <v>343</v>
      </c>
      <c r="L34" s="59"/>
      <c r="M34" s="60" t="s">
        <v>304</v>
      </c>
      <c r="N34" s="57">
        <f t="shared" si="1"/>
        <v>600</v>
      </c>
      <c r="O34" s="63"/>
      <c r="P34" s="57" t="s">
        <v>173</v>
      </c>
    </row>
    <row r="35" spans="1:16" ht="18.75">
      <c r="A35" s="54" t="s">
        <v>61</v>
      </c>
      <c r="B35" s="37" t="s">
        <v>113</v>
      </c>
      <c r="C35" s="55" t="s">
        <v>114</v>
      </c>
      <c r="D35" s="56"/>
      <c r="E35" s="56">
        <v>20000</v>
      </c>
      <c r="F35" s="56">
        <v>300</v>
      </c>
      <c r="G35" s="56">
        <v>300</v>
      </c>
      <c r="H35" s="49">
        <f>APR!N35</f>
        <v>600</v>
      </c>
      <c r="I35" s="57">
        <f t="shared" si="0"/>
        <v>21200</v>
      </c>
      <c r="J35" s="58">
        <v>20450</v>
      </c>
      <c r="K35" s="59" t="s">
        <v>315</v>
      </c>
      <c r="L35" s="87" t="s">
        <v>311</v>
      </c>
      <c r="M35" s="60" t="s">
        <v>304</v>
      </c>
      <c r="N35" s="57">
        <f t="shared" si="1"/>
        <v>750</v>
      </c>
      <c r="O35" s="63"/>
      <c r="P35" s="57" t="s">
        <v>173</v>
      </c>
    </row>
    <row r="36" spans="1:16" ht="15.75" customHeight="1">
      <c r="A36" s="54" t="s">
        <v>62</v>
      </c>
      <c r="B36" s="37" t="s">
        <v>115</v>
      </c>
      <c r="C36" s="55" t="s">
        <v>116</v>
      </c>
      <c r="D36" s="56"/>
      <c r="E36" s="56">
        <v>22000</v>
      </c>
      <c r="F36" s="56">
        <v>1350</v>
      </c>
      <c r="G36" s="56">
        <v>300</v>
      </c>
      <c r="H36" s="49">
        <f>APR!N36</f>
        <v>-300</v>
      </c>
      <c r="I36" s="57">
        <f t="shared" si="0"/>
        <v>23350</v>
      </c>
      <c r="J36" s="58">
        <v>23500</v>
      </c>
      <c r="K36" s="59" t="s">
        <v>312</v>
      </c>
      <c r="L36" s="59"/>
      <c r="M36" s="60" t="s">
        <v>304</v>
      </c>
      <c r="N36" s="57">
        <f t="shared" si="1"/>
        <v>-150</v>
      </c>
      <c r="O36" s="63"/>
      <c r="P36" s="57" t="s">
        <v>173</v>
      </c>
    </row>
    <row r="37" spans="1:16" ht="20.25" customHeight="1">
      <c r="A37" s="54" t="s">
        <v>63</v>
      </c>
      <c r="B37" s="37" t="s">
        <v>117</v>
      </c>
      <c r="C37" s="55" t="s">
        <v>118</v>
      </c>
      <c r="D37" s="56"/>
      <c r="E37" s="56">
        <v>21000</v>
      </c>
      <c r="F37" s="56">
        <v>1200</v>
      </c>
      <c r="G37" s="56">
        <v>300</v>
      </c>
      <c r="H37" s="49">
        <f>APR!N37</f>
        <v>-1750</v>
      </c>
      <c r="I37" s="57">
        <f t="shared" si="0"/>
        <v>20750</v>
      </c>
      <c r="J37" s="58">
        <v>21050</v>
      </c>
      <c r="K37" s="59" t="s">
        <v>346</v>
      </c>
      <c r="L37" s="59"/>
      <c r="M37" s="60" t="s">
        <v>304</v>
      </c>
      <c r="N37" s="57">
        <f t="shared" si="1"/>
        <v>-300</v>
      </c>
      <c r="O37" s="63"/>
      <c r="P37" s="57" t="s">
        <v>173</v>
      </c>
    </row>
    <row r="38" spans="1:16" ht="21.75" customHeight="1">
      <c r="A38" s="54" t="s">
        <v>64</v>
      </c>
      <c r="B38" s="37" t="s">
        <v>120</v>
      </c>
      <c r="C38" s="55" t="s">
        <v>119</v>
      </c>
      <c r="D38" s="56"/>
      <c r="E38" s="56">
        <v>21000</v>
      </c>
      <c r="F38" s="56">
        <v>150</v>
      </c>
      <c r="G38" s="56">
        <v>300</v>
      </c>
      <c r="H38" s="49">
        <f>APR!N38</f>
        <v>0</v>
      </c>
      <c r="I38" s="57">
        <f t="shared" si="0"/>
        <v>21450</v>
      </c>
      <c r="J38" s="58">
        <v>21450</v>
      </c>
      <c r="K38" s="59" t="s">
        <v>336</v>
      </c>
      <c r="L38" s="59"/>
      <c r="M38" s="60" t="s">
        <v>304</v>
      </c>
      <c r="N38" s="57">
        <f t="shared" si="1"/>
        <v>0</v>
      </c>
      <c r="O38" s="63"/>
      <c r="P38" s="57" t="s">
        <v>173</v>
      </c>
    </row>
    <row r="39" spans="1:16" ht="18.75" customHeight="1">
      <c r="A39" s="54" t="s">
        <v>65</v>
      </c>
      <c r="B39" s="37" t="s">
        <v>121</v>
      </c>
      <c r="C39" s="55" t="s">
        <v>122</v>
      </c>
      <c r="D39" s="56"/>
      <c r="E39" s="56">
        <v>20000</v>
      </c>
      <c r="F39" s="56">
        <v>150</v>
      </c>
      <c r="G39" s="56">
        <v>300</v>
      </c>
      <c r="H39" s="49">
        <f>APR!N39</f>
        <v>-900</v>
      </c>
      <c r="I39" s="57">
        <f t="shared" si="0"/>
        <v>19550</v>
      </c>
      <c r="J39" s="58">
        <v>21650</v>
      </c>
      <c r="K39" s="59" t="s">
        <v>309</v>
      </c>
      <c r="L39" s="59"/>
      <c r="M39" s="60" t="s">
        <v>304</v>
      </c>
      <c r="N39" s="57">
        <f t="shared" si="1"/>
        <v>-2100</v>
      </c>
      <c r="O39" s="63"/>
      <c r="P39" s="57" t="s">
        <v>173</v>
      </c>
    </row>
    <row r="40" spans="1:16" ht="18.75">
      <c r="A40" s="54" t="s">
        <v>66</v>
      </c>
      <c r="B40" s="37" t="s">
        <v>124</v>
      </c>
      <c r="C40" s="55" t="s">
        <v>123</v>
      </c>
      <c r="D40" s="56"/>
      <c r="E40" s="56">
        <v>20000</v>
      </c>
      <c r="F40" s="56">
        <v>300</v>
      </c>
      <c r="G40" s="56">
        <v>300</v>
      </c>
      <c r="H40" s="49">
        <f>APR!N40</f>
        <v>450</v>
      </c>
      <c r="I40" s="57">
        <f t="shared" si="0"/>
        <v>21050</v>
      </c>
      <c r="J40" s="58">
        <v>21500</v>
      </c>
      <c r="K40" s="59" t="s">
        <v>332</v>
      </c>
      <c r="L40" s="87" t="s">
        <v>333</v>
      </c>
      <c r="M40" s="60" t="s">
        <v>304</v>
      </c>
      <c r="N40" s="57">
        <f t="shared" si="1"/>
        <v>-450</v>
      </c>
      <c r="O40" s="63"/>
      <c r="P40" s="57" t="s">
        <v>173</v>
      </c>
    </row>
    <row r="41" spans="1:16" ht="18.75">
      <c r="A41" s="54" t="s">
        <v>67</v>
      </c>
      <c r="B41" s="37" t="s">
        <v>125</v>
      </c>
      <c r="C41" s="55" t="s">
        <v>126</v>
      </c>
      <c r="D41" s="61"/>
      <c r="E41" s="56">
        <v>12000</v>
      </c>
      <c r="F41" s="56">
        <v>150</v>
      </c>
      <c r="G41" s="56">
        <v>300</v>
      </c>
      <c r="H41" s="49">
        <f>APR!N41</f>
        <v>-150</v>
      </c>
      <c r="I41" s="57">
        <f t="shared" si="0"/>
        <v>12300</v>
      </c>
      <c r="J41" s="58">
        <v>12750</v>
      </c>
      <c r="K41" s="59" t="s">
        <v>338</v>
      </c>
      <c r="L41" s="59"/>
      <c r="M41" s="60" t="s">
        <v>304</v>
      </c>
      <c r="N41" s="57">
        <f t="shared" si="1"/>
        <v>-450</v>
      </c>
      <c r="O41" s="63"/>
      <c r="P41" s="57" t="s">
        <v>173</v>
      </c>
    </row>
    <row r="42" spans="1:16" ht="17.25" customHeight="1">
      <c r="A42" s="54" t="s">
        <v>68</v>
      </c>
      <c r="B42" s="37" t="s">
        <v>127</v>
      </c>
      <c r="C42" s="55" t="s">
        <v>128</v>
      </c>
      <c r="D42" s="56"/>
      <c r="E42" s="56">
        <v>20000</v>
      </c>
      <c r="F42" s="56">
        <v>900</v>
      </c>
      <c r="G42" s="56">
        <v>300</v>
      </c>
      <c r="H42" s="49">
        <f>APR!N42</f>
        <v>-1600</v>
      </c>
      <c r="I42" s="57">
        <f t="shared" si="0"/>
        <v>19600</v>
      </c>
      <c r="J42" s="58"/>
      <c r="K42" s="59"/>
      <c r="L42" s="59"/>
      <c r="M42" s="60" t="s">
        <v>304</v>
      </c>
      <c r="N42" s="57">
        <f t="shared" si="1"/>
        <v>19600</v>
      </c>
      <c r="O42" s="63" t="s">
        <v>199</v>
      </c>
      <c r="P42" s="57" t="s">
        <v>173</v>
      </c>
    </row>
    <row r="43" spans="1:16" ht="18.75">
      <c r="A43" s="54" t="s">
        <v>69</v>
      </c>
      <c r="B43" s="37" t="s">
        <v>129</v>
      </c>
      <c r="C43" s="55" t="s">
        <v>130</v>
      </c>
      <c r="D43" s="56"/>
      <c r="E43" s="56">
        <v>20000</v>
      </c>
      <c r="F43" s="56">
        <v>900</v>
      </c>
      <c r="G43" s="56">
        <v>300</v>
      </c>
      <c r="H43" s="49">
        <f>APR!N43</f>
        <v>450</v>
      </c>
      <c r="I43" s="57">
        <f t="shared" si="0"/>
        <v>21650</v>
      </c>
      <c r="J43" s="58">
        <v>20600</v>
      </c>
      <c r="K43" s="59" t="s">
        <v>342</v>
      </c>
      <c r="L43" s="86"/>
      <c r="M43" s="60" t="s">
        <v>304</v>
      </c>
      <c r="N43" s="57">
        <f t="shared" si="1"/>
        <v>1050</v>
      </c>
      <c r="O43" s="63"/>
      <c r="P43" s="57" t="s">
        <v>173</v>
      </c>
    </row>
    <row r="44" spans="1:16" ht="18.75">
      <c r="A44" s="54" t="s">
        <v>70</v>
      </c>
      <c r="B44" s="37" t="s">
        <v>131</v>
      </c>
      <c r="C44" s="55" t="s">
        <v>132</v>
      </c>
      <c r="D44" s="56"/>
      <c r="E44" s="56">
        <v>20000</v>
      </c>
      <c r="F44" s="56">
        <v>150</v>
      </c>
      <c r="G44" s="56">
        <v>300</v>
      </c>
      <c r="H44" s="49">
        <f>APR!N44</f>
        <v>0</v>
      </c>
      <c r="I44" s="57">
        <f t="shared" si="0"/>
        <v>20450</v>
      </c>
      <c r="J44" s="58">
        <v>20450</v>
      </c>
      <c r="K44" s="59" t="s">
        <v>314</v>
      </c>
      <c r="L44" s="59"/>
      <c r="M44" s="60" t="s">
        <v>304</v>
      </c>
      <c r="N44" s="57">
        <f t="shared" si="1"/>
        <v>0</v>
      </c>
      <c r="O44" s="63"/>
      <c r="P44" s="57" t="s">
        <v>173</v>
      </c>
    </row>
    <row r="45" spans="1:16" ht="18.75">
      <c r="A45" s="54" t="s">
        <v>71</v>
      </c>
      <c r="B45" s="37" t="s">
        <v>133</v>
      </c>
      <c r="C45" s="55" t="s">
        <v>134</v>
      </c>
      <c r="D45" s="56"/>
      <c r="E45" s="56">
        <v>21000</v>
      </c>
      <c r="F45" s="56">
        <v>600</v>
      </c>
      <c r="G45" s="56">
        <v>300</v>
      </c>
      <c r="H45" s="49">
        <f>APR!N45</f>
        <v>-150</v>
      </c>
      <c r="I45" s="57">
        <f t="shared" si="0"/>
        <v>21750</v>
      </c>
      <c r="J45" s="58">
        <v>21750</v>
      </c>
      <c r="K45" s="59" t="s">
        <v>313</v>
      </c>
      <c r="L45" s="89" t="s">
        <v>311</v>
      </c>
      <c r="M45" s="60" t="s">
        <v>304</v>
      </c>
      <c r="N45" s="57">
        <f t="shared" si="1"/>
        <v>0</v>
      </c>
      <c r="O45" s="63"/>
      <c r="P45" s="57" t="s">
        <v>173</v>
      </c>
    </row>
    <row r="46" spans="1:16" ht="18.75">
      <c r="A46" s="54" t="s">
        <v>72</v>
      </c>
      <c r="B46" s="37" t="s">
        <v>135</v>
      </c>
      <c r="C46" s="55" t="s">
        <v>136</v>
      </c>
      <c r="D46" s="56"/>
      <c r="E46" s="56">
        <v>12000</v>
      </c>
      <c r="F46" s="56">
        <v>450</v>
      </c>
      <c r="G46" s="56">
        <v>300</v>
      </c>
      <c r="H46" s="49">
        <f>APR!N46</f>
        <v>600</v>
      </c>
      <c r="I46" s="57">
        <f t="shared" si="0"/>
        <v>13350</v>
      </c>
      <c r="J46" s="58">
        <v>12450</v>
      </c>
      <c r="K46" s="59" t="s">
        <v>362</v>
      </c>
      <c r="L46" s="59" t="s">
        <v>363</v>
      </c>
      <c r="M46" s="60" t="s">
        <v>304</v>
      </c>
      <c r="N46" s="57">
        <f t="shared" si="1"/>
        <v>900</v>
      </c>
      <c r="O46" s="63"/>
      <c r="P46" s="57" t="s">
        <v>173</v>
      </c>
    </row>
    <row r="47" spans="1:16" s="14" customFormat="1" ht="18.75">
      <c r="A47" s="54" t="s">
        <v>73</v>
      </c>
      <c r="B47" s="37" t="s">
        <v>137</v>
      </c>
      <c r="C47" s="55" t="s">
        <v>139</v>
      </c>
      <c r="D47" s="62"/>
      <c r="E47" s="62">
        <v>20000</v>
      </c>
      <c r="F47" s="62">
        <v>150</v>
      </c>
      <c r="G47" s="56">
        <v>300</v>
      </c>
      <c r="H47" s="49">
        <f>APR!N47</f>
        <v>600</v>
      </c>
      <c r="I47" s="57">
        <f t="shared" si="0"/>
        <v>21050</v>
      </c>
      <c r="J47" s="58">
        <v>21350</v>
      </c>
      <c r="K47" s="59" t="s">
        <v>337</v>
      </c>
      <c r="L47" s="59"/>
      <c r="M47" s="60" t="s">
        <v>304</v>
      </c>
      <c r="N47" s="57">
        <f t="shared" si="1"/>
        <v>-300</v>
      </c>
      <c r="O47" s="63"/>
      <c r="P47" s="57" t="s">
        <v>173</v>
      </c>
    </row>
    <row r="48" spans="1:16" ht="18.75">
      <c r="A48" s="54" t="s">
        <v>74</v>
      </c>
      <c r="B48" s="37" t="s">
        <v>143</v>
      </c>
      <c r="C48" s="55" t="s">
        <v>138</v>
      </c>
      <c r="D48" s="56"/>
      <c r="E48" s="56">
        <v>20000</v>
      </c>
      <c r="F48" s="56">
        <v>150</v>
      </c>
      <c r="G48" s="56">
        <v>300</v>
      </c>
      <c r="H48" s="49">
        <f>APR!N48</f>
        <v>-300</v>
      </c>
      <c r="I48" s="57">
        <f t="shared" si="0"/>
        <v>20150</v>
      </c>
      <c r="J48" s="58">
        <f>20300+450</f>
        <v>20750</v>
      </c>
      <c r="K48" s="59" t="s">
        <v>308</v>
      </c>
      <c r="L48" s="87" t="s">
        <v>306</v>
      </c>
      <c r="M48" s="60" t="s">
        <v>304</v>
      </c>
      <c r="N48" s="57">
        <f t="shared" si="1"/>
        <v>-600</v>
      </c>
      <c r="O48" s="63"/>
      <c r="P48" s="57" t="s">
        <v>173</v>
      </c>
    </row>
    <row r="49" spans="1:16" ht="18.75">
      <c r="A49" s="65" t="s">
        <v>20</v>
      </c>
      <c r="B49" s="66"/>
      <c r="C49" s="67"/>
      <c r="D49" s="68">
        <f t="shared" ref="D49:J49" si="2">SUM(D10:D48)</f>
        <v>22000</v>
      </c>
      <c r="E49" s="68">
        <f t="shared" si="2"/>
        <v>720000</v>
      </c>
      <c r="F49" s="68">
        <f t="shared" si="2"/>
        <v>22200</v>
      </c>
      <c r="G49" s="68">
        <f t="shared" si="2"/>
        <v>10350</v>
      </c>
      <c r="H49" s="69">
        <f t="shared" si="2"/>
        <v>98750</v>
      </c>
      <c r="I49" s="57">
        <f t="shared" si="2"/>
        <v>873300</v>
      </c>
      <c r="J49" s="70">
        <f t="shared" si="2"/>
        <v>826400</v>
      </c>
      <c r="K49" s="59"/>
      <c r="L49" s="59"/>
      <c r="M49" s="68"/>
      <c r="N49" s="68">
        <f>SUM(N10:N48)</f>
        <v>46300</v>
      </c>
      <c r="O49" s="71"/>
      <c r="P49" s="68"/>
    </row>
    <row r="50" spans="1:16" ht="18.75">
      <c r="A50" s="36"/>
      <c r="B50" s="37"/>
      <c r="C50" s="67"/>
      <c r="D50" s="72"/>
      <c r="E50" s="73">
        <v>0</v>
      </c>
      <c r="F50" s="73"/>
      <c r="G50" s="73"/>
      <c r="H50" s="74"/>
      <c r="I50" s="73"/>
      <c r="J50" s="73"/>
      <c r="K50" s="36"/>
      <c r="L50" s="36"/>
      <c r="M50" s="36"/>
      <c r="N50" s="57"/>
      <c r="O50" s="73"/>
      <c r="P50" s="57"/>
    </row>
    <row r="51" spans="1:16" ht="18.75">
      <c r="A51" s="75" t="s">
        <v>21</v>
      </c>
      <c r="B51" s="37"/>
      <c r="C51" s="67"/>
      <c r="D51" s="72"/>
      <c r="E51" s="73"/>
      <c r="F51" s="73"/>
      <c r="G51" s="73"/>
      <c r="H51" s="74"/>
      <c r="I51" s="73"/>
      <c r="J51" s="73"/>
      <c r="K51" s="36"/>
      <c r="L51" s="36"/>
      <c r="M51" s="36"/>
      <c r="N51" s="57"/>
      <c r="O51" s="73"/>
      <c r="P51" s="57"/>
    </row>
    <row r="52" spans="1:16" s="26" customFormat="1" ht="18.75">
      <c r="A52" s="37" t="s">
        <v>22</v>
      </c>
      <c r="B52" s="37"/>
      <c r="C52" s="67"/>
      <c r="D52" s="37"/>
      <c r="E52" s="37"/>
      <c r="F52" s="37"/>
      <c r="G52" s="37"/>
      <c r="H52" s="49"/>
      <c r="I52" s="37"/>
      <c r="J52" s="76">
        <f>J49*5%</f>
        <v>41320</v>
      </c>
      <c r="K52" s="37"/>
      <c r="L52" s="37"/>
      <c r="M52" s="37"/>
      <c r="N52" s="57"/>
      <c r="O52" s="45"/>
      <c r="P52" s="57"/>
    </row>
    <row r="53" spans="1:16" s="26" customFormat="1" ht="18.75">
      <c r="A53" s="37" t="s">
        <v>357</v>
      </c>
      <c r="B53" s="37"/>
      <c r="C53" s="67"/>
      <c r="D53" s="37"/>
      <c r="E53" s="37"/>
      <c r="F53" s="37"/>
      <c r="G53" s="37"/>
      <c r="H53" s="49"/>
      <c r="I53" s="37"/>
      <c r="J53" s="76">
        <v>4500</v>
      </c>
      <c r="K53" s="37"/>
      <c r="L53" s="37"/>
      <c r="M53" s="37"/>
      <c r="N53" s="57"/>
      <c r="O53" s="45"/>
      <c r="P53" s="57"/>
    </row>
    <row r="54" spans="1:16" ht="21">
      <c r="A54" s="45" t="s">
        <v>23</v>
      </c>
      <c r="B54" s="45"/>
      <c r="C54" s="45"/>
      <c r="D54" s="45"/>
      <c r="E54" s="45"/>
      <c r="F54" s="45"/>
      <c r="G54" s="45"/>
      <c r="H54" s="69"/>
      <c r="I54" s="45"/>
      <c r="J54" s="77">
        <f>SUM(J52:J53)</f>
        <v>45820</v>
      </c>
      <c r="K54" s="45"/>
      <c r="L54" s="45"/>
      <c r="M54" s="37"/>
      <c r="N54" s="45"/>
      <c r="O54" s="45"/>
      <c r="P54" s="45"/>
    </row>
    <row r="55" spans="1:16" ht="21">
      <c r="A55" s="45"/>
      <c r="B55" s="45"/>
      <c r="C55" s="45"/>
      <c r="D55" s="45"/>
      <c r="E55" s="45"/>
      <c r="F55" s="45"/>
      <c r="G55" s="45"/>
      <c r="H55" s="69"/>
      <c r="I55" s="45"/>
      <c r="J55" s="77"/>
      <c r="K55" s="45"/>
      <c r="L55" s="45"/>
      <c r="M55" s="37"/>
      <c r="N55" s="45"/>
      <c r="O55" s="45"/>
      <c r="P55" s="45"/>
    </row>
    <row r="56" spans="1:16" ht="18.75">
      <c r="A56" s="37" t="s">
        <v>24</v>
      </c>
      <c r="B56" s="37"/>
      <c r="C56" s="37"/>
      <c r="D56" s="37"/>
      <c r="E56" s="37"/>
      <c r="F56" s="37"/>
      <c r="G56" s="37"/>
      <c r="H56" s="49"/>
      <c r="I56" s="37"/>
      <c r="J56" s="78">
        <f>APR!N57</f>
        <v>44640</v>
      </c>
      <c r="K56" s="79" t="s">
        <v>25</v>
      </c>
      <c r="L56" s="79"/>
      <c r="M56" s="79" t="s">
        <v>26</v>
      </c>
      <c r="N56" s="79" t="s">
        <v>27</v>
      </c>
      <c r="O56" s="66"/>
      <c r="P56" s="79"/>
    </row>
    <row r="57" spans="1:16" ht="19.5" thickBot="1">
      <c r="A57" s="36" t="s">
        <v>28</v>
      </c>
      <c r="B57" s="36"/>
      <c r="C57" s="36"/>
      <c r="D57" s="36"/>
      <c r="E57" s="36"/>
      <c r="F57" s="36"/>
      <c r="G57" s="36"/>
      <c r="H57" s="74"/>
      <c r="I57" s="45"/>
      <c r="J57" s="81">
        <f>J54+J56</f>
        <v>90460</v>
      </c>
      <c r="K57" s="69"/>
      <c r="L57" s="69"/>
      <c r="M57" s="69"/>
      <c r="N57" s="82">
        <f>J57-K57-M57</f>
        <v>90460</v>
      </c>
      <c r="O57" s="66"/>
      <c r="P57" s="82"/>
    </row>
    <row r="58" spans="1:16" ht="19.5" thickTop="1">
      <c r="A58" s="37" t="s">
        <v>29</v>
      </c>
      <c r="B58" s="37"/>
      <c r="C58" s="37"/>
      <c r="D58" s="37"/>
      <c r="E58" s="37"/>
      <c r="F58" s="37"/>
      <c r="G58" s="37"/>
      <c r="H58" s="49"/>
      <c r="I58" s="37"/>
      <c r="J58" s="37"/>
      <c r="K58" s="37"/>
      <c r="L58" s="37"/>
      <c r="M58" s="37"/>
      <c r="N58" s="84">
        <v>46173</v>
      </c>
      <c r="O58" s="85"/>
      <c r="P58" s="84"/>
    </row>
    <row r="62" spans="1:16">
      <c r="J62" s="5">
        <f>J49/I49*100</f>
        <v>94.629566013970006</v>
      </c>
    </row>
    <row r="65" spans="9:9">
      <c r="I65" s="33"/>
    </row>
    <row r="66" spans="9:9">
      <c r="I66" s="33"/>
    </row>
    <row r="108" spans="1:1">
      <c r="A108" s="5" t="s">
        <v>31</v>
      </c>
    </row>
  </sheetData>
  <mergeCells count="1">
    <mergeCell ref="A3:N3"/>
  </mergeCells>
  <pageMargins left="0.7" right="0.7" top="0.75" bottom="0.75" header="0.3" footer="0.3"/>
  <pageSetup scale="5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AC02-7172-446D-B0F3-52DD4456D8DE}">
  <sheetPr>
    <pageSetUpPr fitToPage="1"/>
  </sheetPr>
  <dimension ref="A1:Q107"/>
  <sheetViews>
    <sheetView topLeftCell="A25" zoomScale="51" zoomScaleNormal="51" workbookViewId="0">
      <selection activeCell="A45" sqref="A45:XFD45"/>
    </sheetView>
  </sheetViews>
  <sheetFormatPr defaultColWidth="9" defaultRowHeight="12"/>
  <cols>
    <col min="1" max="1" width="7.5703125" style="5" customWidth="1"/>
    <col min="2" max="2" width="33.5703125" style="5" customWidth="1"/>
    <col min="3" max="3" width="17" style="5" customWidth="1"/>
    <col min="4" max="4" width="18.140625" style="5" customWidth="1"/>
    <col min="5" max="5" width="19" style="5" customWidth="1"/>
    <col min="6" max="6" width="15.42578125" style="5" customWidth="1"/>
    <col min="7" max="7" width="14.5703125" style="5" customWidth="1"/>
    <col min="8" max="8" width="20" style="5" customWidth="1"/>
    <col min="9" max="9" width="19.140625" style="5" customWidth="1"/>
    <col min="10" max="10" width="21" style="5" customWidth="1"/>
    <col min="11" max="12" width="32.7109375" style="5" customWidth="1"/>
    <col min="13" max="13" width="8.42578125" style="5" customWidth="1"/>
    <col min="14" max="14" width="18.42578125" style="5" customWidth="1"/>
    <col min="15" max="15" width="40.28515625" style="5" customWidth="1"/>
    <col min="16" max="16" width="18.42578125" style="5" customWidth="1"/>
    <col min="17" max="16384" width="9" style="5"/>
  </cols>
  <sheetData>
    <row r="1" spans="1:16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3"/>
      <c r="P1" s="43"/>
    </row>
    <row r="2" spans="1:16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3"/>
      <c r="P2" s="43"/>
    </row>
    <row r="3" spans="1:16" ht="18.75">
      <c r="A3" s="120" t="s">
        <v>365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36"/>
      <c r="P3" s="36"/>
    </row>
    <row r="4" spans="1:16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44"/>
      <c r="P4" s="44"/>
    </row>
    <row r="5" spans="1:16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44"/>
      <c r="P5" s="44"/>
    </row>
    <row r="6" spans="1:16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44"/>
      <c r="P6" s="44"/>
    </row>
    <row r="7" spans="1:16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44"/>
      <c r="P7" s="44"/>
    </row>
    <row r="8" spans="1:16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44"/>
      <c r="P8" s="44"/>
    </row>
    <row r="9" spans="1:16" ht="37.5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210</v>
      </c>
      <c r="M9" s="36" t="s">
        <v>17</v>
      </c>
      <c r="N9" s="41" t="s">
        <v>18</v>
      </c>
      <c r="O9" s="41" t="s">
        <v>30</v>
      </c>
      <c r="P9" s="41" t="s">
        <v>19</v>
      </c>
    </row>
    <row r="10" spans="1:16" ht="18.75">
      <c r="A10" s="54" t="s">
        <v>37</v>
      </c>
      <c r="B10" s="37" t="s">
        <v>140</v>
      </c>
      <c r="C10" s="55" t="s">
        <v>79</v>
      </c>
      <c r="D10" s="56"/>
      <c r="E10" s="56">
        <v>11000</v>
      </c>
      <c r="F10" s="56">
        <v>150</v>
      </c>
      <c r="G10" s="56">
        <v>300</v>
      </c>
      <c r="H10" s="49">
        <f>MAY!N10</f>
        <v>400</v>
      </c>
      <c r="I10" s="57">
        <f>D10+E10+F10+G10+H10</f>
        <v>11850</v>
      </c>
      <c r="J10" s="58">
        <v>12300</v>
      </c>
      <c r="K10" s="59" t="s">
        <v>366</v>
      </c>
      <c r="L10" s="86">
        <v>46148</v>
      </c>
      <c r="M10" s="60" t="s">
        <v>364</v>
      </c>
      <c r="N10" s="57">
        <f>I10-J10</f>
        <v>-450</v>
      </c>
      <c r="O10" s="63"/>
      <c r="P10" s="57" t="s">
        <v>173</v>
      </c>
    </row>
    <row r="11" spans="1:16" ht="18.75">
      <c r="A11" s="54" t="s">
        <v>38</v>
      </c>
      <c r="B11" s="37" t="s">
        <v>80</v>
      </c>
      <c r="C11" s="55" t="s">
        <v>81</v>
      </c>
      <c r="D11" s="56"/>
      <c r="E11" s="56">
        <v>21000</v>
      </c>
      <c r="F11" s="56">
        <v>900</v>
      </c>
      <c r="G11" s="56">
        <v>300</v>
      </c>
      <c r="H11" s="49">
        <f>MAY!N11</f>
        <v>44400</v>
      </c>
      <c r="I11" s="57">
        <f t="shared" ref="I11:I48" si="0">D11+E11+F11+G11+H11</f>
        <v>66600</v>
      </c>
      <c r="J11" s="58"/>
      <c r="K11" s="59"/>
      <c r="L11" s="59"/>
      <c r="M11" s="60" t="s">
        <v>364</v>
      </c>
      <c r="N11" s="57">
        <f t="shared" ref="N11:N48" si="1">I11-J11</f>
        <v>66600</v>
      </c>
      <c r="O11" s="63"/>
      <c r="P11" s="57" t="s">
        <v>173</v>
      </c>
    </row>
    <row r="12" spans="1:16" ht="18.75">
      <c r="A12" s="54" t="s">
        <v>39</v>
      </c>
      <c r="B12" s="37" t="s">
        <v>82</v>
      </c>
      <c r="C12" s="55" t="s">
        <v>83</v>
      </c>
      <c r="D12" s="56"/>
      <c r="E12" s="56">
        <v>22000</v>
      </c>
      <c r="F12" s="56">
        <v>450</v>
      </c>
      <c r="G12" s="56">
        <v>300</v>
      </c>
      <c r="H12" s="49">
        <f>MAY!N12</f>
        <v>-900</v>
      </c>
      <c r="I12" s="57">
        <f t="shared" si="0"/>
        <v>21850</v>
      </c>
      <c r="J12" s="58">
        <v>22450</v>
      </c>
      <c r="K12" s="59" t="s">
        <v>367</v>
      </c>
      <c r="L12" s="86">
        <v>46118</v>
      </c>
      <c r="M12" s="60" t="s">
        <v>364</v>
      </c>
      <c r="N12" s="57">
        <f t="shared" si="1"/>
        <v>-600</v>
      </c>
      <c r="O12" s="63"/>
      <c r="P12" s="57" t="s">
        <v>173</v>
      </c>
    </row>
    <row r="13" spans="1:16" ht="18.75">
      <c r="A13" s="54" t="s">
        <v>40</v>
      </c>
      <c r="B13" s="37" t="s">
        <v>84</v>
      </c>
      <c r="C13" s="55" t="s">
        <v>85</v>
      </c>
      <c r="D13" s="56"/>
      <c r="E13" s="56">
        <v>20000</v>
      </c>
      <c r="F13" s="56">
        <v>600</v>
      </c>
      <c r="G13" s="56">
        <v>300</v>
      </c>
      <c r="H13" s="49">
        <f>MAY!N13</f>
        <v>-550</v>
      </c>
      <c r="I13" s="57">
        <f t="shared" si="0"/>
        <v>20350</v>
      </c>
      <c r="J13" s="58">
        <v>22600</v>
      </c>
      <c r="K13" s="59" t="s">
        <v>368</v>
      </c>
      <c r="L13" s="86">
        <v>46118</v>
      </c>
      <c r="M13" s="60" t="s">
        <v>364</v>
      </c>
      <c r="N13" s="57">
        <f t="shared" si="1"/>
        <v>-2250</v>
      </c>
      <c r="O13" s="63"/>
      <c r="P13" s="57" t="s">
        <v>173</v>
      </c>
    </row>
    <row r="14" spans="1:16" ht="18.75">
      <c r="A14" s="54" t="s">
        <v>41</v>
      </c>
      <c r="B14" s="37" t="s">
        <v>355</v>
      </c>
      <c r="C14" s="55" t="s">
        <v>356</v>
      </c>
      <c r="D14" s="56"/>
      <c r="E14" s="56">
        <v>20000</v>
      </c>
      <c r="F14" s="56">
        <v>600</v>
      </c>
      <c r="G14" s="56"/>
      <c r="H14" s="49">
        <f>MAY!N14</f>
        <v>-24400</v>
      </c>
      <c r="I14" s="57">
        <f t="shared" si="0"/>
        <v>-3800</v>
      </c>
      <c r="J14" s="58">
        <v>20000</v>
      </c>
      <c r="K14" s="59" t="s">
        <v>369</v>
      </c>
      <c r="L14" s="59" t="s">
        <v>370</v>
      </c>
      <c r="M14" s="60" t="s">
        <v>364</v>
      </c>
      <c r="N14" s="57">
        <f t="shared" si="1"/>
        <v>-23800</v>
      </c>
      <c r="O14" s="63"/>
      <c r="P14" s="57" t="s">
        <v>173</v>
      </c>
    </row>
    <row r="15" spans="1:16" ht="18.75" customHeight="1">
      <c r="A15" s="54" t="s">
        <v>42</v>
      </c>
      <c r="B15" s="37" t="s">
        <v>171</v>
      </c>
      <c r="C15" s="55" t="s">
        <v>78</v>
      </c>
      <c r="D15" s="56"/>
      <c r="E15" s="56">
        <v>21000</v>
      </c>
      <c r="F15" s="56">
        <v>600</v>
      </c>
      <c r="G15" s="56">
        <v>300</v>
      </c>
      <c r="H15" s="49">
        <f>MAY!N15</f>
        <v>-2650</v>
      </c>
      <c r="I15" s="57">
        <f t="shared" si="0"/>
        <v>19250</v>
      </c>
      <c r="J15" s="58"/>
      <c r="K15" s="59"/>
      <c r="L15" s="59"/>
      <c r="M15" s="60" t="s">
        <v>364</v>
      </c>
      <c r="N15" s="57">
        <f t="shared" si="1"/>
        <v>19250</v>
      </c>
      <c r="O15" s="63"/>
      <c r="P15" s="57" t="s">
        <v>173</v>
      </c>
    </row>
    <row r="16" spans="1:16" ht="18.75">
      <c r="A16" s="54" t="s">
        <v>152</v>
      </c>
      <c r="B16" s="37" t="s">
        <v>160</v>
      </c>
      <c r="C16" s="55" t="s">
        <v>161</v>
      </c>
      <c r="D16" s="56"/>
      <c r="E16" s="56">
        <v>21000</v>
      </c>
      <c r="F16" s="56">
        <v>450</v>
      </c>
      <c r="G16" s="56">
        <v>300</v>
      </c>
      <c r="H16" s="49">
        <f>MAY!N16</f>
        <v>300</v>
      </c>
      <c r="I16" s="57">
        <f t="shared" si="0"/>
        <v>22050</v>
      </c>
      <c r="J16" s="58">
        <v>22350</v>
      </c>
      <c r="K16" s="59" t="s">
        <v>371</v>
      </c>
      <c r="L16" s="86">
        <v>46118</v>
      </c>
      <c r="M16" s="60" t="s">
        <v>364</v>
      </c>
      <c r="N16" s="57">
        <f t="shared" si="1"/>
        <v>-300</v>
      </c>
      <c r="O16" s="63"/>
      <c r="P16" s="57" t="s">
        <v>173</v>
      </c>
    </row>
    <row r="17" spans="1:17" ht="18.75">
      <c r="A17" s="54" t="s">
        <v>43</v>
      </c>
      <c r="B17" s="37" t="s">
        <v>141</v>
      </c>
      <c r="C17" s="55" t="s">
        <v>86</v>
      </c>
      <c r="D17" s="56"/>
      <c r="E17" s="56">
        <v>12000</v>
      </c>
      <c r="F17" s="56">
        <v>450</v>
      </c>
      <c r="G17" s="56">
        <v>300</v>
      </c>
      <c r="H17" s="49">
        <f>MAY!N17</f>
        <v>4300</v>
      </c>
      <c r="I17" s="57">
        <f t="shared" si="0"/>
        <v>17050</v>
      </c>
      <c r="J17" s="58">
        <v>12000</v>
      </c>
      <c r="K17" s="59" t="s">
        <v>411</v>
      </c>
      <c r="L17" s="59" t="s">
        <v>412</v>
      </c>
      <c r="M17" s="60" t="s">
        <v>364</v>
      </c>
      <c r="N17" s="57">
        <f t="shared" si="1"/>
        <v>5050</v>
      </c>
      <c r="O17" s="63"/>
      <c r="P17" s="57" t="s">
        <v>173</v>
      </c>
    </row>
    <row r="18" spans="1:17" ht="18.75">
      <c r="A18" s="54" t="s">
        <v>44</v>
      </c>
      <c r="B18" s="37" t="s">
        <v>169</v>
      </c>
      <c r="C18" s="55" t="s">
        <v>170</v>
      </c>
      <c r="D18" s="56"/>
      <c r="E18" s="56">
        <v>20000</v>
      </c>
      <c r="F18" s="56">
        <v>900</v>
      </c>
      <c r="G18" s="56">
        <v>300</v>
      </c>
      <c r="H18" s="49">
        <f>MAY!N18</f>
        <v>-21700</v>
      </c>
      <c r="I18" s="57">
        <f t="shared" si="0"/>
        <v>-500</v>
      </c>
      <c r="J18" s="58">
        <v>21000</v>
      </c>
      <c r="K18" s="59" t="s">
        <v>395</v>
      </c>
      <c r="L18" s="86">
        <v>46301</v>
      </c>
      <c r="M18" s="60" t="s">
        <v>364</v>
      </c>
      <c r="N18" s="57">
        <f t="shared" si="1"/>
        <v>-21500</v>
      </c>
      <c r="O18" s="63"/>
      <c r="P18" s="57" t="s">
        <v>173</v>
      </c>
    </row>
    <row r="19" spans="1:17" ht="23.25" customHeight="1">
      <c r="A19" s="54" t="s">
        <v>45</v>
      </c>
      <c r="B19" s="37" t="s">
        <v>87</v>
      </c>
      <c r="C19" s="55" t="s">
        <v>88</v>
      </c>
      <c r="D19" s="56"/>
      <c r="E19" s="56">
        <v>20000</v>
      </c>
      <c r="F19" s="56">
        <v>1500</v>
      </c>
      <c r="G19" s="56">
        <v>300</v>
      </c>
      <c r="H19" s="49">
        <f>MAY!N19</f>
        <v>1850</v>
      </c>
      <c r="I19" s="57">
        <f t="shared" si="0"/>
        <v>23650</v>
      </c>
      <c r="J19" s="58">
        <v>13000</v>
      </c>
      <c r="K19" s="59" t="s">
        <v>405</v>
      </c>
      <c r="L19" s="59" t="s">
        <v>406</v>
      </c>
      <c r="M19" s="60" t="s">
        <v>364</v>
      </c>
      <c r="N19" s="57">
        <f t="shared" si="1"/>
        <v>10650</v>
      </c>
      <c r="O19" s="63"/>
      <c r="P19" s="57" t="s">
        <v>173</v>
      </c>
    </row>
    <row r="20" spans="1:17" ht="18.75">
      <c r="A20" s="54" t="s">
        <v>46</v>
      </c>
      <c r="B20" s="37" t="s">
        <v>195</v>
      </c>
      <c r="C20" s="55" t="s">
        <v>89</v>
      </c>
      <c r="D20" s="56"/>
      <c r="E20" s="56">
        <v>20000</v>
      </c>
      <c r="F20" s="56">
        <v>450</v>
      </c>
      <c r="G20" s="56">
        <v>300</v>
      </c>
      <c r="H20" s="49">
        <f>MAY!N20</f>
        <v>-7040</v>
      </c>
      <c r="I20" s="57">
        <f t="shared" si="0"/>
        <v>13710</v>
      </c>
      <c r="J20" s="58">
        <v>22450</v>
      </c>
      <c r="K20" s="59" t="s">
        <v>394</v>
      </c>
      <c r="L20" s="59"/>
      <c r="M20" s="60" t="s">
        <v>364</v>
      </c>
      <c r="N20" s="57">
        <f t="shared" si="1"/>
        <v>-8740</v>
      </c>
      <c r="O20" s="63"/>
      <c r="P20" s="57" t="s">
        <v>173</v>
      </c>
    </row>
    <row r="21" spans="1:17" ht="18.75">
      <c r="A21" s="54" t="s">
        <v>47</v>
      </c>
      <c r="B21" s="37" t="s">
        <v>190</v>
      </c>
      <c r="C21" s="55" t="s">
        <v>90</v>
      </c>
      <c r="D21" s="56"/>
      <c r="E21" s="56">
        <v>20000</v>
      </c>
      <c r="F21" s="56">
        <v>450</v>
      </c>
      <c r="G21" s="56">
        <v>300</v>
      </c>
      <c r="H21" s="49">
        <f>MAY!N21</f>
        <v>9140</v>
      </c>
      <c r="I21" s="57">
        <f t="shared" si="0"/>
        <v>29890</v>
      </c>
      <c r="J21" s="58">
        <v>15000</v>
      </c>
      <c r="K21" s="59" t="s">
        <v>372</v>
      </c>
      <c r="L21" s="86">
        <v>46118</v>
      </c>
      <c r="M21" s="60" t="s">
        <v>364</v>
      </c>
      <c r="N21" s="57">
        <f t="shared" si="1"/>
        <v>14890</v>
      </c>
      <c r="O21" s="63"/>
      <c r="P21" s="57" t="s">
        <v>173</v>
      </c>
    </row>
    <row r="22" spans="1:17" ht="18.75">
      <c r="A22" s="54" t="s">
        <v>48</v>
      </c>
      <c r="B22" s="37" t="s">
        <v>91</v>
      </c>
      <c r="C22" s="55" t="s">
        <v>92</v>
      </c>
      <c r="D22" s="56"/>
      <c r="E22" s="56">
        <v>21000</v>
      </c>
      <c r="F22" s="56">
        <v>300</v>
      </c>
      <c r="G22" s="56">
        <v>300</v>
      </c>
      <c r="H22" s="49">
        <f>MAY!N22</f>
        <v>-150</v>
      </c>
      <c r="I22" s="57">
        <f t="shared" si="0"/>
        <v>21450</v>
      </c>
      <c r="J22" s="58">
        <v>21450</v>
      </c>
      <c r="K22" s="59" t="s">
        <v>392</v>
      </c>
      <c r="L22" s="86">
        <v>46209</v>
      </c>
      <c r="M22" s="60" t="s">
        <v>364</v>
      </c>
      <c r="N22" s="57">
        <f t="shared" si="1"/>
        <v>0</v>
      </c>
      <c r="O22" s="63"/>
      <c r="P22" s="57" t="s">
        <v>173</v>
      </c>
    </row>
    <row r="23" spans="1:17" ht="18.75">
      <c r="A23" s="54" t="s">
        <v>49</v>
      </c>
      <c r="B23" s="37" t="s">
        <v>93</v>
      </c>
      <c r="C23" s="55" t="s">
        <v>94</v>
      </c>
      <c r="D23" s="56"/>
      <c r="E23" s="56">
        <v>21000</v>
      </c>
      <c r="F23" s="56">
        <v>600</v>
      </c>
      <c r="G23" s="56">
        <v>300</v>
      </c>
      <c r="H23" s="49">
        <f>MAY!N23</f>
        <v>900</v>
      </c>
      <c r="I23" s="57">
        <f t="shared" si="0"/>
        <v>22800</v>
      </c>
      <c r="J23" s="58">
        <v>21600</v>
      </c>
      <c r="K23" s="59" t="s">
        <v>373</v>
      </c>
      <c r="L23" s="86">
        <v>46118</v>
      </c>
      <c r="M23" s="60" t="s">
        <v>364</v>
      </c>
      <c r="N23" s="57">
        <f t="shared" si="1"/>
        <v>1200</v>
      </c>
      <c r="O23" s="63"/>
      <c r="P23" s="57" t="s">
        <v>173</v>
      </c>
    </row>
    <row r="24" spans="1:17" ht="18.75">
      <c r="A24" s="54" t="s">
        <v>50</v>
      </c>
      <c r="B24" s="37" t="s">
        <v>187</v>
      </c>
      <c r="C24" s="55" t="s">
        <v>95</v>
      </c>
      <c r="D24" s="56"/>
      <c r="E24" s="56">
        <v>21000</v>
      </c>
      <c r="F24" s="56">
        <v>600</v>
      </c>
      <c r="G24" s="56">
        <v>300</v>
      </c>
      <c r="H24" s="49">
        <f>MAY!N24</f>
        <v>29450</v>
      </c>
      <c r="I24" s="57">
        <f t="shared" si="0"/>
        <v>51350</v>
      </c>
      <c r="J24" s="58">
        <f>15000+10000</f>
        <v>25000</v>
      </c>
      <c r="K24" s="59" t="s">
        <v>413</v>
      </c>
      <c r="L24" s="59" t="s">
        <v>414</v>
      </c>
      <c r="M24" s="60" t="s">
        <v>364</v>
      </c>
      <c r="N24" s="57">
        <f t="shared" si="1"/>
        <v>26350</v>
      </c>
      <c r="O24" s="63"/>
      <c r="P24" s="57" t="s">
        <v>173</v>
      </c>
    </row>
    <row r="25" spans="1:17" ht="18.75">
      <c r="A25" s="54" t="s">
        <v>51</v>
      </c>
      <c r="B25" s="37" t="s">
        <v>96</v>
      </c>
      <c r="C25" s="55"/>
      <c r="D25" s="56"/>
      <c r="E25" s="56"/>
      <c r="F25" s="56">
        <v>0</v>
      </c>
      <c r="G25" s="56"/>
      <c r="H25" s="49">
        <f>MAY!N25</f>
        <v>0</v>
      </c>
      <c r="I25" s="57">
        <f t="shared" si="0"/>
        <v>0</v>
      </c>
      <c r="J25" s="58"/>
      <c r="K25" s="59"/>
      <c r="L25" s="59"/>
      <c r="M25" s="60" t="s">
        <v>364</v>
      </c>
      <c r="N25" s="57">
        <f t="shared" si="1"/>
        <v>0</v>
      </c>
      <c r="O25" s="63"/>
      <c r="P25" s="57" t="s">
        <v>173</v>
      </c>
    </row>
    <row r="26" spans="1:17" ht="18.75">
      <c r="A26" s="54" t="s">
        <v>52</v>
      </c>
      <c r="B26" s="37" t="s">
        <v>203</v>
      </c>
      <c r="C26" s="55" t="s">
        <v>204</v>
      </c>
      <c r="D26" s="56"/>
      <c r="E26" s="56">
        <v>22000</v>
      </c>
      <c r="F26" s="56">
        <v>450</v>
      </c>
      <c r="G26" s="56">
        <v>300</v>
      </c>
      <c r="H26" s="49">
        <v>0</v>
      </c>
      <c r="I26" s="57">
        <f t="shared" si="0"/>
        <v>22750</v>
      </c>
      <c r="J26" s="58">
        <v>44600</v>
      </c>
      <c r="K26" s="59" t="s">
        <v>402</v>
      </c>
      <c r="L26" s="86">
        <v>46148</v>
      </c>
      <c r="M26" s="60" t="s">
        <v>364</v>
      </c>
      <c r="N26" s="57">
        <f t="shared" si="1"/>
        <v>-21850</v>
      </c>
      <c r="O26" s="63"/>
      <c r="P26" s="57" t="s">
        <v>173</v>
      </c>
    </row>
    <row r="27" spans="1:17" ht="18.75">
      <c r="A27" s="54" t="s">
        <v>53</v>
      </c>
      <c r="B27" s="37" t="s">
        <v>99</v>
      </c>
      <c r="C27" s="55" t="s">
        <v>100</v>
      </c>
      <c r="D27" s="56"/>
      <c r="E27" s="56">
        <v>21000</v>
      </c>
      <c r="F27" s="56">
        <v>1350</v>
      </c>
      <c r="G27" s="56">
        <v>300</v>
      </c>
      <c r="H27" s="49">
        <f>MAY!N27</f>
        <v>-900</v>
      </c>
      <c r="I27" s="57">
        <f t="shared" si="0"/>
        <v>21750</v>
      </c>
      <c r="J27" s="58">
        <v>22350</v>
      </c>
      <c r="K27" s="59" t="s">
        <v>407</v>
      </c>
      <c r="L27" s="90" t="s">
        <v>408</v>
      </c>
      <c r="M27" s="60" t="s">
        <v>364</v>
      </c>
      <c r="N27" s="57">
        <f t="shared" si="1"/>
        <v>-600</v>
      </c>
      <c r="O27" s="63"/>
      <c r="P27" s="57" t="s">
        <v>173</v>
      </c>
      <c r="Q27" s="5" t="s">
        <v>180</v>
      </c>
    </row>
    <row r="28" spans="1:17" ht="18.75">
      <c r="A28" s="54" t="s">
        <v>54</v>
      </c>
      <c r="B28" s="37" t="s">
        <v>142</v>
      </c>
      <c r="C28" s="55" t="s">
        <v>101</v>
      </c>
      <c r="D28" s="56"/>
      <c r="E28" s="56">
        <v>22000</v>
      </c>
      <c r="F28" s="56">
        <v>450</v>
      </c>
      <c r="G28" s="56">
        <v>300</v>
      </c>
      <c r="H28" s="49">
        <f>MAY!N28</f>
        <v>-20150</v>
      </c>
      <c r="I28" s="57">
        <f t="shared" si="0"/>
        <v>2600</v>
      </c>
      <c r="J28" s="58"/>
      <c r="K28" s="59"/>
      <c r="L28" s="59"/>
      <c r="M28" s="60" t="s">
        <v>364</v>
      </c>
      <c r="N28" s="57"/>
      <c r="O28" s="63"/>
      <c r="P28" s="57" t="s">
        <v>173</v>
      </c>
    </row>
    <row r="29" spans="1:17" s="101" customFormat="1" ht="18.75">
      <c r="A29" s="91" t="s">
        <v>55</v>
      </c>
      <c r="B29" s="92" t="s">
        <v>397</v>
      </c>
      <c r="C29" s="93" t="s">
        <v>398</v>
      </c>
      <c r="D29" s="94">
        <v>21000</v>
      </c>
      <c r="E29" s="94"/>
      <c r="F29" s="94"/>
      <c r="G29" s="94"/>
      <c r="H29" s="95">
        <f>MAY!N29</f>
        <v>300</v>
      </c>
      <c r="I29" s="57">
        <f t="shared" si="0"/>
        <v>21300</v>
      </c>
      <c r="J29" s="97">
        <f>21000</f>
        <v>21000</v>
      </c>
      <c r="K29" s="98" t="s">
        <v>400</v>
      </c>
      <c r="L29" s="98" t="s">
        <v>401</v>
      </c>
      <c r="M29" s="99" t="s">
        <v>364</v>
      </c>
      <c r="N29" s="96">
        <f t="shared" si="1"/>
        <v>300</v>
      </c>
      <c r="O29" s="100" t="s">
        <v>399</v>
      </c>
      <c r="P29" s="96" t="s">
        <v>173</v>
      </c>
    </row>
    <row r="30" spans="1:17" ht="18.75">
      <c r="A30" s="54" t="s">
        <v>56</v>
      </c>
      <c r="B30" s="37" t="s">
        <v>104</v>
      </c>
      <c r="C30" s="55" t="s">
        <v>105</v>
      </c>
      <c r="D30" s="56"/>
      <c r="E30" s="56">
        <v>20000</v>
      </c>
      <c r="F30" s="56">
        <v>1350</v>
      </c>
      <c r="G30" s="56">
        <v>300</v>
      </c>
      <c r="H30" s="49">
        <f>MAY!N30</f>
        <v>-900</v>
      </c>
      <c r="I30" s="57">
        <f t="shared" si="0"/>
        <v>20750</v>
      </c>
      <c r="J30" s="58">
        <v>21350</v>
      </c>
      <c r="K30" s="59" t="s">
        <v>375</v>
      </c>
      <c r="L30" s="59" t="s">
        <v>376</v>
      </c>
      <c r="M30" s="60" t="s">
        <v>364</v>
      </c>
      <c r="N30" s="57">
        <f t="shared" si="1"/>
        <v>-600</v>
      </c>
      <c r="O30" s="63"/>
      <c r="P30" s="57" t="s">
        <v>173</v>
      </c>
    </row>
    <row r="31" spans="1:17" ht="22.5" customHeight="1">
      <c r="A31" s="54" t="s">
        <v>57</v>
      </c>
      <c r="B31" s="37" t="s">
        <v>145</v>
      </c>
      <c r="C31" s="55" t="s">
        <v>106</v>
      </c>
      <c r="D31" s="56"/>
      <c r="E31" s="56">
        <v>21000</v>
      </c>
      <c r="F31" s="56">
        <v>750</v>
      </c>
      <c r="G31" s="56">
        <v>300</v>
      </c>
      <c r="H31" s="49">
        <f>MAY!N31</f>
        <v>1050</v>
      </c>
      <c r="I31" s="57">
        <f t="shared" si="0"/>
        <v>23100</v>
      </c>
      <c r="J31" s="58">
        <v>21750</v>
      </c>
      <c r="K31" s="59" t="s">
        <v>396</v>
      </c>
      <c r="L31" s="86">
        <v>45936</v>
      </c>
      <c r="M31" s="60" t="s">
        <v>364</v>
      </c>
      <c r="N31" s="57">
        <f t="shared" si="1"/>
        <v>1350</v>
      </c>
      <c r="O31" s="63"/>
      <c r="P31" s="57" t="s">
        <v>173</v>
      </c>
    </row>
    <row r="32" spans="1:17" ht="18.75">
      <c r="A32" s="54" t="s">
        <v>58</v>
      </c>
      <c r="B32" s="37" t="s">
        <v>350</v>
      </c>
      <c r="C32" s="55" t="s">
        <v>351</v>
      </c>
      <c r="D32" s="56"/>
      <c r="E32" s="56">
        <v>22000</v>
      </c>
      <c r="F32" s="56">
        <v>600</v>
      </c>
      <c r="G32" s="56"/>
      <c r="H32" s="49">
        <f>MAY!N32</f>
        <v>0</v>
      </c>
      <c r="I32" s="57">
        <f t="shared" si="0"/>
        <v>22600</v>
      </c>
      <c r="J32" s="58">
        <v>22600</v>
      </c>
      <c r="K32" s="59" t="s">
        <v>390</v>
      </c>
      <c r="L32" s="86">
        <v>46209</v>
      </c>
      <c r="M32" s="60" t="s">
        <v>364</v>
      </c>
      <c r="N32" s="57">
        <f t="shared" si="1"/>
        <v>0</v>
      </c>
      <c r="O32" s="63"/>
      <c r="P32" s="57" t="s">
        <v>173</v>
      </c>
    </row>
    <row r="33" spans="1:16" ht="18.75">
      <c r="A33" s="54" t="s">
        <v>59</v>
      </c>
      <c r="B33" s="37" t="s">
        <v>109</v>
      </c>
      <c r="C33" s="55" t="s">
        <v>110</v>
      </c>
      <c r="D33" s="56"/>
      <c r="E33" s="56">
        <v>12000</v>
      </c>
      <c r="F33" s="56">
        <v>750</v>
      </c>
      <c r="G33" s="56">
        <v>300</v>
      </c>
      <c r="H33" s="49">
        <f>MAY!N33</f>
        <v>14250</v>
      </c>
      <c r="I33" s="57">
        <f t="shared" si="0"/>
        <v>27300</v>
      </c>
      <c r="J33" s="58"/>
      <c r="K33" s="59"/>
      <c r="L33" s="59"/>
      <c r="M33" s="60" t="s">
        <v>364</v>
      </c>
      <c r="N33" s="57">
        <f t="shared" si="1"/>
        <v>27300</v>
      </c>
      <c r="O33" s="63"/>
      <c r="P33" s="57" t="s">
        <v>173</v>
      </c>
    </row>
    <row r="34" spans="1:16" ht="18.75">
      <c r="A34" s="54" t="s">
        <v>60</v>
      </c>
      <c r="B34" s="37" t="s">
        <v>111</v>
      </c>
      <c r="C34" s="55" t="s">
        <v>112</v>
      </c>
      <c r="D34" s="56"/>
      <c r="E34" s="56">
        <v>20000</v>
      </c>
      <c r="F34" s="56">
        <v>900</v>
      </c>
      <c r="G34" s="56">
        <v>300</v>
      </c>
      <c r="H34" s="49">
        <f>MAY!N34</f>
        <v>600</v>
      </c>
      <c r="I34" s="57">
        <f t="shared" si="0"/>
        <v>21800</v>
      </c>
      <c r="J34" s="58">
        <v>20750</v>
      </c>
      <c r="K34" s="59" t="s">
        <v>378</v>
      </c>
      <c r="L34" s="59" t="s">
        <v>379</v>
      </c>
      <c r="M34" s="60" t="s">
        <v>364</v>
      </c>
      <c r="N34" s="57">
        <f t="shared" si="1"/>
        <v>1050</v>
      </c>
      <c r="O34" s="63"/>
      <c r="P34" s="57" t="s">
        <v>173</v>
      </c>
    </row>
    <row r="35" spans="1:16" ht="18.75">
      <c r="A35" s="54" t="s">
        <v>61</v>
      </c>
      <c r="B35" s="37" t="s">
        <v>113</v>
      </c>
      <c r="C35" s="55" t="s">
        <v>114</v>
      </c>
      <c r="D35" s="56"/>
      <c r="E35" s="56">
        <v>20000</v>
      </c>
      <c r="F35" s="56">
        <v>450</v>
      </c>
      <c r="G35" s="56">
        <v>300</v>
      </c>
      <c r="H35" s="49">
        <f>MAY!N35</f>
        <v>750</v>
      </c>
      <c r="I35" s="57">
        <f t="shared" si="0"/>
        <v>21500</v>
      </c>
      <c r="J35" s="58">
        <v>20300</v>
      </c>
      <c r="K35" s="59" t="s">
        <v>380</v>
      </c>
      <c r="L35" s="59" t="s">
        <v>377</v>
      </c>
      <c r="M35" s="60" t="s">
        <v>364</v>
      </c>
      <c r="N35" s="57">
        <f t="shared" si="1"/>
        <v>1200</v>
      </c>
      <c r="O35" s="63"/>
      <c r="P35" s="57" t="s">
        <v>173</v>
      </c>
    </row>
    <row r="36" spans="1:16" ht="15.75" customHeight="1">
      <c r="A36" s="54" t="s">
        <v>62</v>
      </c>
      <c r="B36" s="37" t="s">
        <v>115</v>
      </c>
      <c r="C36" s="55" t="s">
        <v>116</v>
      </c>
      <c r="D36" s="56"/>
      <c r="E36" s="56">
        <v>22000</v>
      </c>
      <c r="F36" s="56">
        <v>1350</v>
      </c>
      <c r="G36" s="56">
        <v>300</v>
      </c>
      <c r="H36" s="49">
        <f>MAY!N36</f>
        <v>-150</v>
      </c>
      <c r="I36" s="57">
        <f t="shared" si="0"/>
        <v>23500</v>
      </c>
      <c r="J36" s="58">
        <v>23500</v>
      </c>
      <c r="K36" s="59" t="s">
        <v>312</v>
      </c>
      <c r="L36" s="59" t="s">
        <v>374</v>
      </c>
      <c r="M36" s="60" t="s">
        <v>364</v>
      </c>
      <c r="N36" s="57">
        <f t="shared" si="1"/>
        <v>0</v>
      </c>
      <c r="O36" s="63"/>
      <c r="P36" s="57" t="s">
        <v>173</v>
      </c>
    </row>
    <row r="37" spans="1:16" ht="20.25" customHeight="1">
      <c r="A37" s="54" t="s">
        <v>63</v>
      </c>
      <c r="B37" s="37" t="s">
        <v>117</v>
      </c>
      <c r="C37" s="55" t="s">
        <v>118</v>
      </c>
      <c r="D37" s="56"/>
      <c r="E37" s="56">
        <v>21000</v>
      </c>
      <c r="F37" s="56">
        <v>1200</v>
      </c>
      <c r="G37" s="56">
        <v>300</v>
      </c>
      <c r="H37" s="49">
        <f>MAY!N37</f>
        <v>-300</v>
      </c>
      <c r="I37" s="57">
        <f t="shared" si="0"/>
        <v>22200</v>
      </c>
      <c r="J37" s="58"/>
      <c r="K37" s="59"/>
      <c r="L37" s="59"/>
      <c r="M37" s="60" t="s">
        <v>364</v>
      </c>
      <c r="N37" s="57">
        <f t="shared" si="1"/>
        <v>22200</v>
      </c>
      <c r="O37" s="63"/>
      <c r="P37" s="57" t="s">
        <v>173</v>
      </c>
    </row>
    <row r="38" spans="1:16" ht="21.75" customHeight="1">
      <c r="A38" s="54" t="s">
        <v>64</v>
      </c>
      <c r="B38" s="37" t="s">
        <v>120</v>
      </c>
      <c r="C38" s="55" t="s">
        <v>119</v>
      </c>
      <c r="D38" s="56"/>
      <c r="E38" s="56">
        <v>21000</v>
      </c>
      <c r="F38" s="56">
        <v>150</v>
      </c>
      <c r="G38" s="56">
        <v>300</v>
      </c>
      <c r="H38" s="49">
        <f>MAY!N38</f>
        <v>0</v>
      </c>
      <c r="I38" s="57">
        <f t="shared" si="0"/>
        <v>21450</v>
      </c>
      <c r="J38" s="58">
        <v>21450</v>
      </c>
      <c r="K38" s="59" t="s">
        <v>381</v>
      </c>
      <c r="L38" s="59" t="s">
        <v>374</v>
      </c>
      <c r="M38" s="60" t="s">
        <v>364</v>
      </c>
      <c r="N38" s="57">
        <f t="shared" si="1"/>
        <v>0</v>
      </c>
      <c r="O38" s="63"/>
      <c r="P38" s="57" t="s">
        <v>173</v>
      </c>
    </row>
    <row r="39" spans="1:16" ht="18.75" customHeight="1">
      <c r="A39" s="54" t="s">
        <v>65</v>
      </c>
      <c r="B39" s="37" t="s">
        <v>382</v>
      </c>
      <c r="C39" s="55" t="s">
        <v>383</v>
      </c>
      <c r="D39" s="56"/>
      <c r="E39" s="56">
        <v>20000</v>
      </c>
      <c r="F39" s="56"/>
      <c r="G39" s="56">
        <v>300</v>
      </c>
      <c r="H39" s="49"/>
      <c r="I39" s="57">
        <f t="shared" si="0"/>
        <v>20300</v>
      </c>
      <c r="J39" s="58">
        <v>40000</v>
      </c>
      <c r="K39" s="59" t="s">
        <v>384</v>
      </c>
      <c r="L39" s="59" t="s">
        <v>385</v>
      </c>
      <c r="M39" s="60" t="s">
        <v>364</v>
      </c>
      <c r="N39" s="57">
        <f t="shared" si="1"/>
        <v>-19700</v>
      </c>
      <c r="O39" s="63"/>
      <c r="P39" s="57" t="s">
        <v>173</v>
      </c>
    </row>
    <row r="40" spans="1:16" ht="18.75">
      <c r="A40" s="54" t="s">
        <v>66</v>
      </c>
      <c r="B40" s="37" t="s">
        <v>124</v>
      </c>
      <c r="C40" s="55" t="s">
        <v>123</v>
      </c>
      <c r="D40" s="56"/>
      <c r="E40" s="56">
        <v>20000</v>
      </c>
      <c r="F40" s="56">
        <v>300</v>
      </c>
      <c r="G40" s="56">
        <v>300</v>
      </c>
      <c r="H40" s="49">
        <f>MAY!N40</f>
        <v>-450</v>
      </c>
      <c r="I40" s="57">
        <f t="shared" si="0"/>
        <v>20150</v>
      </c>
      <c r="J40" s="58">
        <v>21350</v>
      </c>
      <c r="K40" s="59" t="s">
        <v>391</v>
      </c>
      <c r="L40" s="86">
        <v>46179</v>
      </c>
      <c r="M40" s="60" t="s">
        <v>364</v>
      </c>
      <c r="N40" s="57">
        <f t="shared" si="1"/>
        <v>-1200</v>
      </c>
      <c r="O40" s="63"/>
      <c r="P40" s="57" t="s">
        <v>173</v>
      </c>
    </row>
    <row r="41" spans="1:16" ht="18.75">
      <c r="A41" s="54" t="s">
        <v>67</v>
      </c>
      <c r="B41" s="37" t="s">
        <v>125</v>
      </c>
      <c r="C41" s="55" t="s">
        <v>126</v>
      </c>
      <c r="D41" s="61"/>
      <c r="E41" s="56">
        <v>12000</v>
      </c>
      <c r="F41" s="56">
        <v>450</v>
      </c>
      <c r="G41" s="56">
        <v>300</v>
      </c>
      <c r="H41" s="49">
        <f>MAY!N41</f>
        <v>-450</v>
      </c>
      <c r="I41" s="57">
        <f t="shared" si="0"/>
        <v>12300</v>
      </c>
      <c r="J41" s="58">
        <v>12600</v>
      </c>
      <c r="K41" s="59" t="s">
        <v>393</v>
      </c>
      <c r="L41" s="86">
        <v>46271</v>
      </c>
      <c r="M41" s="60" t="s">
        <v>364</v>
      </c>
      <c r="N41" s="57">
        <f t="shared" si="1"/>
        <v>-300</v>
      </c>
      <c r="O41" s="63"/>
      <c r="P41" s="57" t="s">
        <v>173</v>
      </c>
    </row>
    <row r="42" spans="1:16" ht="17.25" customHeight="1">
      <c r="A42" s="54" t="s">
        <v>68</v>
      </c>
      <c r="B42" s="37" t="s">
        <v>127</v>
      </c>
      <c r="C42" s="55" t="s">
        <v>128</v>
      </c>
      <c r="D42" s="56"/>
      <c r="E42" s="56">
        <v>20000</v>
      </c>
      <c r="F42" s="56">
        <v>900</v>
      </c>
      <c r="G42" s="56">
        <v>300</v>
      </c>
      <c r="H42" s="49">
        <f>MAY!N42</f>
        <v>19600</v>
      </c>
      <c r="I42" s="57">
        <f t="shared" si="0"/>
        <v>40800</v>
      </c>
      <c r="J42" s="58"/>
      <c r="K42" s="59"/>
      <c r="L42" s="59"/>
      <c r="M42" s="60" t="s">
        <v>364</v>
      </c>
      <c r="N42" s="57">
        <f t="shared" si="1"/>
        <v>40800</v>
      </c>
      <c r="O42" s="63" t="s">
        <v>415</v>
      </c>
      <c r="P42" s="57" t="s">
        <v>173</v>
      </c>
    </row>
    <row r="43" spans="1:16" ht="18.75">
      <c r="A43" s="54" t="s">
        <v>69</v>
      </c>
      <c r="B43" s="37" t="s">
        <v>121</v>
      </c>
      <c r="C43" s="55" t="s">
        <v>122</v>
      </c>
      <c r="D43" s="56"/>
      <c r="E43" s="56">
        <v>20000</v>
      </c>
      <c r="F43" s="56">
        <v>300</v>
      </c>
      <c r="G43" s="56">
        <v>300</v>
      </c>
      <c r="H43" s="49">
        <f>MAY!N43</f>
        <v>1050</v>
      </c>
      <c r="I43" s="57">
        <f t="shared" si="0"/>
        <v>21650</v>
      </c>
      <c r="J43" s="58">
        <v>21650</v>
      </c>
      <c r="K43" s="59" t="s">
        <v>386</v>
      </c>
      <c r="L43" s="59" t="s">
        <v>379</v>
      </c>
      <c r="M43" s="60" t="s">
        <v>364</v>
      </c>
      <c r="N43" s="57">
        <f t="shared" si="1"/>
        <v>0</v>
      </c>
      <c r="O43" s="63"/>
      <c r="P43" s="57" t="s">
        <v>173</v>
      </c>
    </row>
    <row r="44" spans="1:16" ht="18.75">
      <c r="A44" s="54" t="s">
        <v>70</v>
      </c>
      <c r="B44" s="37" t="s">
        <v>131</v>
      </c>
      <c r="C44" s="55" t="s">
        <v>132</v>
      </c>
      <c r="D44" s="56"/>
      <c r="E44" s="56">
        <v>20000</v>
      </c>
      <c r="F44" s="56">
        <v>300</v>
      </c>
      <c r="G44" s="56">
        <v>300</v>
      </c>
      <c r="H44" s="49">
        <f>MAY!N44</f>
        <v>0</v>
      </c>
      <c r="I44" s="57">
        <f t="shared" si="0"/>
        <v>20600</v>
      </c>
      <c r="J44" s="58">
        <v>20300</v>
      </c>
      <c r="K44" s="59" t="s">
        <v>403</v>
      </c>
      <c r="L44" s="86">
        <v>46179</v>
      </c>
      <c r="M44" s="60" t="s">
        <v>364</v>
      </c>
      <c r="N44" s="57">
        <f t="shared" si="1"/>
        <v>300</v>
      </c>
      <c r="O44" s="63"/>
      <c r="P44" s="57" t="s">
        <v>173</v>
      </c>
    </row>
    <row r="45" spans="1:16" ht="18.75">
      <c r="A45" s="54" t="s">
        <v>71</v>
      </c>
      <c r="B45" s="37" t="s">
        <v>331</v>
      </c>
      <c r="C45" s="55"/>
      <c r="D45" s="56"/>
      <c r="E45" s="56"/>
      <c r="F45" s="56"/>
      <c r="G45" s="56"/>
      <c r="H45" s="49">
        <f>MAY!N45</f>
        <v>0</v>
      </c>
      <c r="I45" s="57">
        <f t="shared" si="0"/>
        <v>0</v>
      </c>
      <c r="J45" s="58"/>
      <c r="K45" s="59"/>
      <c r="L45" s="59"/>
      <c r="M45" s="60" t="s">
        <v>364</v>
      </c>
      <c r="N45" s="57">
        <f t="shared" si="1"/>
        <v>0</v>
      </c>
      <c r="O45" s="63"/>
      <c r="P45" s="57" t="s">
        <v>173</v>
      </c>
    </row>
    <row r="46" spans="1:16" ht="18.75">
      <c r="A46" s="54" t="s">
        <v>72</v>
      </c>
      <c r="B46" s="37" t="s">
        <v>135</v>
      </c>
      <c r="C46" s="55" t="s">
        <v>136</v>
      </c>
      <c r="D46" s="56"/>
      <c r="E46" s="56">
        <v>12000</v>
      </c>
      <c r="F46" s="56">
        <v>450</v>
      </c>
      <c r="G46" s="56">
        <v>300</v>
      </c>
      <c r="H46" s="49">
        <f>MAY!N46</f>
        <v>900</v>
      </c>
      <c r="I46" s="57">
        <f t="shared" si="0"/>
        <v>13650</v>
      </c>
      <c r="J46" s="58">
        <v>12450</v>
      </c>
      <c r="K46" s="59" t="s">
        <v>404</v>
      </c>
      <c r="L46" s="59"/>
      <c r="M46" s="60" t="s">
        <v>364</v>
      </c>
      <c r="N46" s="57">
        <f t="shared" si="1"/>
        <v>1200</v>
      </c>
      <c r="O46" s="63"/>
      <c r="P46" s="57" t="s">
        <v>173</v>
      </c>
    </row>
    <row r="47" spans="1:16" s="14" customFormat="1" ht="18.75">
      <c r="A47" s="54" t="s">
        <v>73</v>
      </c>
      <c r="B47" s="37" t="s">
        <v>137</v>
      </c>
      <c r="C47" s="55" t="s">
        <v>139</v>
      </c>
      <c r="D47" s="62"/>
      <c r="E47" s="62">
        <v>20000</v>
      </c>
      <c r="F47" s="62">
        <v>150</v>
      </c>
      <c r="G47" s="56">
        <v>300</v>
      </c>
      <c r="H47" s="49">
        <f>MAY!N47</f>
        <v>-300</v>
      </c>
      <c r="I47" s="57">
        <f t="shared" si="0"/>
        <v>20150</v>
      </c>
      <c r="J47" s="58">
        <v>21050</v>
      </c>
      <c r="K47" s="59" t="s">
        <v>387</v>
      </c>
      <c r="L47" s="86">
        <v>46148</v>
      </c>
      <c r="M47" s="60" t="s">
        <v>364</v>
      </c>
      <c r="N47" s="57">
        <f t="shared" si="1"/>
        <v>-900</v>
      </c>
      <c r="O47" s="63"/>
      <c r="P47" s="57" t="s">
        <v>173</v>
      </c>
    </row>
    <row r="48" spans="1:16" ht="18.75">
      <c r="A48" s="54" t="s">
        <v>74</v>
      </c>
      <c r="B48" s="37" t="s">
        <v>143</v>
      </c>
      <c r="C48" s="55" t="s">
        <v>138</v>
      </c>
      <c r="D48" s="56"/>
      <c r="E48" s="56">
        <v>20000</v>
      </c>
      <c r="F48" s="56">
        <v>450</v>
      </c>
      <c r="G48" s="56">
        <v>300</v>
      </c>
      <c r="H48" s="49">
        <f>MAY!N48</f>
        <v>-600</v>
      </c>
      <c r="I48" s="57">
        <f t="shared" si="0"/>
        <v>20150</v>
      </c>
      <c r="J48" s="58">
        <v>20750</v>
      </c>
      <c r="K48" s="59" t="s">
        <v>388</v>
      </c>
      <c r="L48" s="59" t="s">
        <v>389</v>
      </c>
      <c r="M48" s="60" t="s">
        <v>364</v>
      </c>
      <c r="N48" s="57">
        <f t="shared" si="1"/>
        <v>-600</v>
      </c>
      <c r="O48" s="63"/>
      <c r="P48" s="57" t="s">
        <v>173</v>
      </c>
    </row>
    <row r="49" spans="1:16" ht="18.75">
      <c r="A49" s="65" t="s">
        <v>20</v>
      </c>
      <c r="B49" s="66"/>
      <c r="C49" s="67"/>
      <c r="D49" s="68">
        <f t="shared" ref="D49:J49" si="2">SUM(D10:D48)</f>
        <v>21000</v>
      </c>
      <c r="E49" s="68">
        <f t="shared" si="2"/>
        <v>699000</v>
      </c>
      <c r="F49" s="68">
        <f t="shared" si="2"/>
        <v>22050</v>
      </c>
      <c r="G49" s="68">
        <f t="shared" si="2"/>
        <v>10200</v>
      </c>
      <c r="H49" s="69">
        <f t="shared" si="2"/>
        <v>47650</v>
      </c>
      <c r="I49" s="57">
        <f t="shared" si="2"/>
        <v>799900</v>
      </c>
      <c r="J49" s="70">
        <f t="shared" si="2"/>
        <v>661000</v>
      </c>
      <c r="K49" s="59"/>
      <c r="L49" s="59"/>
      <c r="M49" s="68"/>
      <c r="N49" s="68">
        <f>SUM(N10:N48)</f>
        <v>136300</v>
      </c>
      <c r="O49" s="71"/>
      <c r="P49" s="68"/>
    </row>
    <row r="50" spans="1:16" ht="18.75">
      <c r="A50" s="36"/>
      <c r="B50" s="37"/>
      <c r="C50" s="67"/>
      <c r="D50" s="72"/>
      <c r="E50" s="73">
        <v>0</v>
      </c>
      <c r="F50" s="73"/>
      <c r="G50" s="73"/>
      <c r="H50" s="74"/>
      <c r="I50" s="73"/>
      <c r="J50" s="73"/>
      <c r="K50" s="36"/>
      <c r="L50" s="36"/>
      <c r="M50" s="36"/>
      <c r="N50" s="57"/>
      <c r="O50" s="73"/>
      <c r="P50" s="57"/>
    </row>
    <row r="51" spans="1:16" ht="18.75">
      <c r="A51" s="75" t="s">
        <v>21</v>
      </c>
      <c r="B51" s="37"/>
      <c r="C51" s="67"/>
      <c r="D51" s="72"/>
      <c r="E51" s="73"/>
      <c r="F51" s="73"/>
      <c r="G51" s="73"/>
      <c r="H51" s="74"/>
      <c r="I51" s="73"/>
      <c r="J51" s="73"/>
      <c r="K51" s="36"/>
      <c r="L51" s="36"/>
      <c r="M51" s="36"/>
      <c r="N51" s="57"/>
      <c r="O51" s="73"/>
      <c r="P51" s="57"/>
    </row>
    <row r="52" spans="1:16" s="26" customFormat="1" ht="18.75">
      <c r="A52" s="37" t="s">
        <v>22</v>
      </c>
      <c r="B52" s="37"/>
      <c r="C52" s="67"/>
      <c r="D52" s="37"/>
      <c r="E52" s="37"/>
      <c r="F52" s="37"/>
      <c r="G52" s="37"/>
      <c r="H52" s="49"/>
      <c r="I52" s="37"/>
      <c r="J52" s="76">
        <f>J49*5%</f>
        <v>33050</v>
      </c>
      <c r="K52" s="37"/>
      <c r="L52" s="37"/>
      <c r="M52" s="37"/>
      <c r="N52" s="57"/>
      <c r="O52" s="45"/>
      <c r="P52" s="57"/>
    </row>
    <row r="53" spans="1:16" ht="21">
      <c r="A53" s="45" t="s">
        <v>23</v>
      </c>
      <c r="B53" s="45"/>
      <c r="C53" s="45"/>
      <c r="D53" s="45"/>
      <c r="E53" s="45"/>
      <c r="F53" s="45"/>
      <c r="G53" s="45"/>
      <c r="H53" s="69"/>
      <c r="I53" s="45"/>
      <c r="J53" s="77">
        <f>SUM(J52:J52)</f>
        <v>33050</v>
      </c>
      <c r="K53" s="45"/>
      <c r="L53" s="45"/>
      <c r="M53" s="37"/>
      <c r="N53" s="45"/>
      <c r="O53" s="45"/>
      <c r="P53" s="45"/>
    </row>
    <row r="54" spans="1:16" ht="21">
      <c r="A54" s="45"/>
      <c r="B54" s="45"/>
      <c r="C54" s="45"/>
      <c r="D54" s="45"/>
      <c r="E54" s="45"/>
      <c r="F54" s="45"/>
      <c r="G54" s="45"/>
      <c r="H54" s="69"/>
      <c r="I54" s="45"/>
      <c r="J54" s="77"/>
      <c r="K54" s="45"/>
      <c r="L54" s="45"/>
      <c r="M54" s="37"/>
      <c r="N54" s="45"/>
      <c r="O54" s="45"/>
      <c r="P54" s="45"/>
    </row>
    <row r="55" spans="1:16" ht="18.75">
      <c r="A55" s="37" t="s">
        <v>24</v>
      </c>
      <c r="B55" s="37"/>
      <c r="C55" s="37"/>
      <c r="D55" s="37"/>
      <c r="E55" s="37"/>
      <c r="F55" s="37"/>
      <c r="G55" s="37"/>
      <c r="H55" s="49"/>
      <c r="I55" s="37"/>
      <c r="J55" s="78">
        <f>MAY!N57</f>
        <v>90460</v>
      </c>
      <c r="K55" s="79" t="s">
        <v>25</v>
      </c>
      <c r="L55" s="79"/>
      <c r="M55" s="79" t="s">
        <v>26</v>
      </c>
      <c r="N55" s="79" t="s">
        <v>27</v>
      </c>
      <c r="O55" s="66"/>
      <c r="P55" s="79"/>
    </row>
    <row r="56" spans="1:16" ht="19.5" thickBot="1">
      <c r="A56" s="36" t="s">
        <v>28</v>
      </c>
      <c r="B56" s="36"/>
      <c r="C56" s="36"/>
      <c r="D56" s="36"/>
      <c r="E56" s="36"/>
      <c r="F56" s="36"/>
      <c r="G56" s="36"/>
      <c r="H56" s="74"/>
      <c r="I56" s="45"/>
      <c r="J56" s="81">
        <f>J53+J55</f>
        <v>123510</v>
      </c>
      <c r="K56" s="69">
        <f>35000+40000</f>
        <v>75000</v>
      </c>
      <c r="L56" s="69"/>
      <c r="M56" s="69"/>
      <c r="N56" s="82">
        <f>J56-K56-M56</f>
        <v>48510</v>
      </c>
      <c r="O56" s="66"/>
      <c r="P56" s="82"/>
    </row>
    <row r="57" spans="1:16" ht="19.5" thickTop="1">
      <c r="A57" s="37" t="s">
        <v>29</v>
      </c>
      <c r="B57" s="37"/>
      <c r="C57" s="37"/>
      <c r="D57" s="37"/>
      <c r="E57" s="37"/>
      <c r="F57" s="37"/>
      <c r="G57" s="37"/>
      <c r="H57" s="49"/>
      <c r="I57" s="37"/>
      <c r="J57" s="37"/>
      <c r="K57" s="37"/>
      <c r="L57" s="37"/>
      <c r="M57" s="37"/>
      <c r="N57" s="84">
        <v>46203</v>
      </c>
      <c r="O57" s="85"/>
      <c r="P57" s="84"/>
    </row>
    <row r="61" spans="1:16">
      <c r="J61" s="5">
        <f>J49/I49*100</f>
        <v>82.635329416177015</v>
      </c>
    </row>
    <row r="64" spans="1:16">
      <c r="I64" s="33"/>
    </row>
    <row r="65" spans="9:9">
      <c r="I65" s="33"/>
    </row>
    <row r="107" spans="1:1">
      <c r="A107" s="5" t="s">
        <v>31</v>
      </c>
    </row>
  </sheetData>
  <mergeCells count="1">
    <mergeCell ref="A3:N3"/>
  </mergeCells>
  <pageMargins left="0.7" right="0.7" top="0.75" bottom="0.75" header="0.3" footer="0.3"/>
  <pageSetup scale="5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A6DB-F2E1-4B2D-8B62-2C09CAE0AD81}">
  <sheetPr>
    <pageSetUpPr fitToPage="1"/>
  </sheetPr>
  <dimension ref="A1:P107"/>
  <sheetViews>
    <sheetView topLeftCell="A10" zoomScale="55" zoomScaleNormal="55" workbookViewId="0">
      <selection activeCell="A23" sqref="A23:XFD23"/>
    </sheetView>
  </sheetViews>
  <sheetFormatPr defaultColWidth="9" defaultRowHeight="12"/>
  <cols>
    <col min="1" max="1" width="7.5703125" style="5" customWidth="1"/>
    <col min="2" max="2" width="33.5703125" style="5" customWidth="1"/>
    <col min="3" max="3" width="17" style="5" customWidth="1"/>
    <col min="4" max="4" width="18.140625" style="5" customWidth="1"/>
    <col min="5" max="5" width="19" style="5" customWidth="1"/>
    <col min="6" max="6" width="15.42578125" style="5" customWidth="1"/>
    <col min="7" max="7" width="14.5703125" style="5" customWidth="1"/>
    <col min="8" max="8" width="20" style="5" customWidth="1"/>
    <col min="9" max="9" width="19.140625" style="5" customWidth="1"/>
    <col min="10" max="10" width="21" style="5" customWidth="1"/>
    <col min="11" max="12" width="32.7109375" style="5" customWidth="1"/>
    <col min="13" max="13" width="8.42578125" style="5" customWidth="1"/>
    <col min="14" max="14" width="18.42578125" style="5" customWidth="1"/>
    <col min="15" max="15" width="40.28515625" style="5" customWidth="1"/>
    <col min="16" max="16" width="18.42578125" style="5" customWidth="1"/>
    <col min="17" max="16384" width="9" style="5"/>
  </cols>
  <sheetData>
    <row r="1" spans="1:16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3"/>
      <c r="P1" s="43"/>
    </row>
    <row r="2" spans="1:16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3"/>
      <c r="P2" s="43"/>
    </row>
    <row r="3" spans="1:16" ht="18.75">
      <c r="A3" s="120" t="s">
        <v>416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36"/>
      <c r="P3" s="36"/>
    </row>
    <row r="4" spans="1:16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44"/>
      <c r="P4" s="44"/>
    </row>
    <row r="5" spans="1:16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44"/>
      <c r="P5" s="44"/>
    </row>
    <row r="6" spans="1:16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44"/>
      <c r="P6" s="44"/>
    </row>
    <row r="7" spans="1:16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44"/>
      <c r="P7" s="44"/>
    </row>
    <row r="8" spans="1:16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44"/>
      <c r="P8" s="44"/>
    </row>
    <row r="9" spans="1:16" ht="37.5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210</v>
      </c>
      <c r="M9" s="36" t="s">
        <v>17</v>
      </c>
      <c r="N9" s="41" t="s">
        <v>18</v>
      </c>
      <c r="O9" s="41" t="s">
        <v>30</v>
      </c>
      <c r="P9" s="41" t="s">
        <v>19</v>
      </c>
    </row>
    <row r="10" spans="1:16" ht="18.75">
      <c r="A10" s="54" t="s">
        <v>37</v>
      </c>
      <c r="B10" s="37" t="s">
        <v>140</v>
      </c>
      <c r="C10" s="55" t="s">
        <v>79</v>
      </c>
      <c r="D10" s="56"/>
      <c r="E10" s="56">
        <v>11000</v>
      </c>
      <c r="F10" s="56">
        <v>300</v>
      </c>
      <c r="G10" s="56">
        <v>300</v>
      </c>
      <c r="H10" s="49">
        <f>JUNE!N10</f>
        <v>-450</v>
      </c>
      <c r="I10" s="57">
        <f>D10+E10+F10+G10+H10</f>
        <v>11150</v>
      </c>
      <c r="J10" s="58">
        <f>11300+300</f>
        <v>11600</v>
      </c>
      <c r="K10" s="59" t="s">
        <v>430</v>
      </c>
      <c r="L10" s="86">
        <v>46203</v>
      </c>
      <c r="M10" s="60"/>
      <c r="N10" s="57">
        <f>I10-J10</f>
        <v>-450</v>
      </c>
      <c r="O10" s="63"/>
      <c r="P10" s="57" t="s">
        <v>173</v>
      </c>
    </row>
    <row r="11" spans="1:16" ht="18.75">
      <c r="A11" s="54" t="s">
        <v>38</v>
      </c>
      <c r="B11" s="37" t="s">
        <v>460</v>
      </c>
      <c r="C11" s="55"/>
      <c r="D11" s="56">
        <v>21000</v>
      </c>
      <c r="E11" s="56"/>
      <c r="F11" s="56"/>
      <c r="G11" s="56"/>
      <c r="H11" s="49"/>
      <c r="I11" s="57">
        <f t="shared" ref="I11:I48" si="0">D11+E11+F11+G11+H11</f>
        <v>21000</v>
      </c>
      <c r="J11" s="58">
        <f>32000</f>
        <v>32000</v>
      </c>
      <c r="K11" s="59" t="s">
        <v>461</v>
      </c>
      <c r="L11" s="59"/>
      <c r="M11" s="60"/>
      <c r="N11" s="57">
        <f>I11-J11</f>
        <v>-11000</v>
      </c>
      <c r="O11" s="102"/>
      <c r="P11" s="57" t="s">
        <v>173</v>
      </c>
    </row>
    <row r="12" spans="1:16" ht="18.75">
      <c r="A12" s="54" t="s">
        <v>39</v>
      </c>
      <c r="B12" s="37" t="s">
        <v>82</v>
      </c>
      <c r="C12" s="55" t="s">
        <v>83</v>
      </c>
      <c r="D12" s="56"/>
      <c r="E12" s="56">
        <v>22000</v>
      </c>
      <c r="F12" s="56">
        <v>900</v>
      </c>
      <c r="G12" s="56">
        <v>300</v>
      </c>
      <c r="H12" s="49">
        <f>JUNE!N12</f>
        <v>-600</v>
      </c>
      <c r="I12" s="57">
        <f t="shared" si="0"/>
        <v>22600</v>
      </c>
      <c r="J12" s="58">
        <v>22750</v>
      </c>
      <c r="K12" s="59" t="s">
        <v>431</v>
      </c>
      <c r="L12" s="86">
        <v>46206</v>
      </c>
      <c r="M12" s="60"/>
      <c r="N12" s="57">
        <f t="shared" ref="N12:N48" si="1">I12-J12</f>
        <v>-150</v>
      </c>
      <c r="O12" s="63"/>
      <c r="P12" s="57" t="s">
        <v>173</v>
      </c>
    </row>
    <row r="13" spans="1:16" ht="18.75">
      <c r="A13" s="54" t="s">
        <v>40</v>
      </c>
      <c r="B13" s="37" t="s">
        <v>84</v>
      </c>
      <c r="C13" s="55" t="s">
        <v>85</v>
      </c>
      <c r="D13" s="56"/>
      <c r="E13" s="56">
        <v>20000</v>
      </c>
      <c r="F13" s="56">
        <v>750</v>
      </c>
      <c r="G13" s="56">
        <v>300</v>
      </c>
      <c r="H13" s="49">
        <f>JUNE!N13</f>
        <v>-2250</v>
      </c>
      <c r="I13" s="57">
        <f t="shared" si="0"/>
        <v>18800</v>
      </c>
      <c r="J13" s="58">
        <v>20600</v>
      </c>
      <c r="K13" s="59" t="s">
        <v>432</v>
      </c>
      <c r="L13" s="86">
        <v>46207</v>
      </c>
      <c r="M13" s="60"/>
      <c r="N13" s="57">
        <f t="shared" si="1"/>
        <v>-1800</v>
      </c>
      <c r="O13" s="63"/>
      <c r="P13" s="57" t="s">
        <v>173</v>
      </c>
    </row>
    <row r="14" spans="1:16" ht="18.75">
      <c r="A14" s="54" t="s">
        <v>41</v>
      </c>
      <c r="B14" s="37" t="s">
        <v>355</v>
      </c>
      <c r="C14" s="55" t="s">
        <v>356</v>
      </c>
      <c r="D14" s="56"/>
      <c r="E14" s="56">
        <v>20000</v>
      </c>
      <c r="F14" s="56">
        <v>600</v>
      </c>
      <c r="G14" s="56"/>
      <c r="H14" s="49">
        <f>JUNE!N14</f>
        <v>-23800</v>
      </c>
      <c r="I14" s="57">
        <f t="shared" si="0"/>
        <v>-3200</v>
      </c>
      <c r="J14" s="58">
        <v>20300</v>
      </c>
      <c r="K14" s="59" t="s">
        <v>433</v>
      </c>
      <c r="L14" s="86">
        <v>46204</v>
      </c>
      <c r="M14" s="60"/>
      <c r="N14" s="57">
        <f t="shared" si="1"/>
        <v>-23500</v>
      </c>
      <c r="O14" s="63"/>
      <c r="P14" s="57" t="s">
        <v>173</v>
      </c>
    </row>
    <row r="15" spans="1:16" ht="18.75" customHeight="1">
      <c r="A15" s="54" t="s">
        <v>42</v>
      </c>
      <c r="B15" s="37" t="s">
        <v>331</v>
      </c>
      <c r="C15" s="55"/>
      <c r="D15" s="56"/>
      <c r="E15" s="56"/>
      <c r="F15" s="56"/>
      <c r="G15" s="56"/>
      <c r="H15" s="49"/>
      <c r="I15" s="57">
        <f t="shared" si="0"/>
        <v>0</v>
      </c>
      <c r="J15" s="58"/>
      <c r="K15" s="59"/>
      <c r="L15" s="59"/>
      <c r="M15" s="60"/>
      <c r="N15" s="57">
        <f t="shared" si="1"/>
        <v>0</v>
      </c>
      <c r="O15" s="63"/>
      <c r="P15" s="57" t="s">
        <v>173</v>
      </c>
    </row>
    <row r="16" spans="1:16" ht="18.75">
      <c r="A16" s="54" t="s">
        <v>152</v>
      </c>
      <c r="B16" s="37" t="s">
        <v>160</v>
      </c>
      <c r="C16" s="55" t="s">
        <v>161</v>
      </c>
      <c r="D16" s="56"/>
      <c r="E16" s="56">
        <v>21000</v>
      </c>
      <c r="F16" s="56">
        <v>900</v>
      </c>
      <c r="G16" s="56">
        <v>300</v>
      </c>
      <c r="H16" s="49">
        <f>JUNE!N16</f>
        <v>-300</v>
      </c>
      <c r="I16" s="57">
        <f t="shared" si="0"/>
        <v>21900</v>
      </c>
      <c r="J16" s="58">
        <v>21600</v>
      </c>
      <c r="K16" s="59" t="s">
        <v>434</v>
      </c>
      <c r="L16" s="86">
        <v>46207</v>
      </c>
      <c r="M16" s="60"/>
      <c r="N16" s="57">
        <f t="shared" si="1"/>
        <v>300</v>
      </c>
      <c r="O16" s="63"/>
      <c r="P16" s="57" t="s">
        <v>173</v>
      </c>
    </row>
    <row r="17" spans="1:16" ht="18.75">
      <c r="A17" s="54" t="s">
        <v>43</v>
      </c>
      <c r="B17" s="37" t="s">
        <v>141</v>
      </c>
      <c r="C17" s="55" t="s">
        <v>86</v>
      </c>
      <c r="D17" s="56"/>
      <c r="E17" s="56">
        <v>12000</v>
      </c>
      <c r="F17" s="56">
        <v>450</v>
      </c>
      <c r="G17" s="56">
        <v>300</v>
      </c>
      <c r="H17" s="49">
        <f>JUNE!N17</f>
        <v>5050</v>
      </c>
      <c r="I17" s="57">
        <f t="shared" si="0"/>
        <v>17800</v>
      </c>
      <c r="J17" s="58">
        <f>25000</f>
        <v>25000</v>
      </c>
      <c r="K17" s="59" t="s">
        <v>452</v>
      </c>
      <c r="L17" s="59" t="s">
        <v>453</v>
      </c>
      <c r="M17" s="60"/>
      <c r="N17" s="57">
        <f t="shared" si="1"/>
        <v>-7200</v>
      </c>
      <c r="O17" s="63"/>
      <c r="P17" s="57" t="s">
        <v>173</v>
      </c>
    </row>
    <row r="18" spans="1:16" ht="18.75">
      <c r="A18" s="54" t="s">
        <v>44</v>
      </c>
      <c r="B18" s="37" t="s">
        <v>169</v>
      </c>
      <c r="C18" s="55" t="s">
        <v>170</v>
      </c>
      <c r="D18" s="56"/>
      <c r="E18" s="56">
        <v>20000</v>
      </c>
      <c r="F18" s="56">
        <v>450</v>
      </c>
      <c r="G18" s="56">
        <v>300</v>
      </c>
      <c r="H18" s="49">
        <f>JUNE!N18</f>
        <v>-21500</v>
      </c>
      <c r="I18" s="57">
        <f t="shared" si="0"/>
        <v>-750</v>
      </c>
      <c r="J18" s="58"/>
      <c r="K18" s="59"/>
      <c r="L18" s="86"/>
      <c r="M18" s="60"/>
      <c r="N18" s="57">
        <f t="shared" si="1"/>
        <v>-750</v>
      </c>
      <c r="O18" s="63"/>
      <c r="P18" s="57" t="s">
        <v>173</v>
      </c>
    </row>
    <row r="19" spans="1:16" ht="23.25" customHeight="1">
      <c r="A19" s="54" t="s">
        <v>45</v>
      </c>
      <c r="B19" s="37" t="s">
        <v>87</v>
      </c>
      <c r="C19" s="55" t="s">
        <v>88</v>
      </c>
      <c r="D19" s="56"/>
      <c r="E19" s="56">
        <v>20000</v>
      </c>
      <c r="F19" s="56">
        <v>750</v>
      </c>
      <c r="G19" s="56">
        <v>300</v>
      </c>
      <c r="H19" s="49">
        <f>JUNE!N19</f>
        <v>10650</v>
      </c>
      <c r="I19" s="57">
        <f t="shared" si="0"/>
        <v>31700</v>
      </c>
      <c r="J19" s="58">
        <v>20600</v>
      </c>
      <c r="K19" s="59" t="s">
        <v>428</v>
      </c>
      <c r="L19" s="86">
        <v>46215</v>
      </c>
      <c r="M19" s="60"/>
      <c r="N19" s="57">
        <f t="shared" si="1"/>
        <v>11100</v>
      </c>
      <c r="O19" s="63"/>
      <c r="P19" s="57" t="s">
        <v>173</v>
      </c>
    </row>
    <row r="20" spans="1:16" ht="18.75">
      <c r="A20" s="54" t="s">
        <v>46</v>
      </c>
      <c r="B20" s="37" t="s">
        <v>195</v>
      </c>
      <c r="C20" s="55" t="s">
        <v>89</v>
      </c>
      <c r="D20" s="56"/>
      <c r="E20" s="56">
        <v>20000</v>
      </c>
      <c r="F20" s="56">
        <v>600</v>
      </c>
      <c r="G20" s="56">
        <v>300</v>
      </c>
      <c r="H20" s="49">
        <f>JUNE!N20</f>
        <v>-8740</v>
      </c>
      <c r="I20" s="57">
        <f t="shared" si="0"/>
        <v>12160</v>
      </c>
      <c r="J20" s="58">
        <f>22450</f>
        <v>22450</v>
      </c>
      <c r="K20" s="59" t="s">
        <v>419</v>
      </c>
      <c r="L20" s="86">
        <v>46208</v>
      </c>
      <c r="M20" s="60"/>
      <c r="N20" s="57">
        <f t="shared" si="1"/>
        <v>-10290</v>
      </c>
      <c r="O20" s="63"/>
      <c r="P20" s="57" t="s">
        <v>173</v>
      </c>
    </row>
    <row r="21" spans="1:16" ht="18.75">
      <c r="A21" s="54" t="s">
        <v>47</v>
      </c>
      <c r="B21" s="37" t="s">
        <v>190</v>
      </c>
      <c r="C21" s="55" t="s">
        <v>90</v>
      </c>
      <c r="D21" s="56"/>
      <c r="E21" s="56">
        <v>20000</v>
      </c>
      <c r="F21" s="56">
        <v>450</v>
      </c>
      <c r="G21" s="56">
        <v>300</v>
      </c>
      <c r="H21" s="49">
        <f>JUNE!N21</f>
        <v>14890</v>
      </c>
      <c r="I21" s="57">
        <f t="shared" si="0"/>
        <v>35640</v>
      </c>
      <c r="J21" s="58">
        <v>20500</v>
      </c>
      <c r="K21" s="59" t="s">
        <v>445</v>
      </c>
      <c r="L21" s="86">
        <v>46216</v>
      </c>
      <c r="M21" s="60"/>
      <c r="N21" s="57">
        <f t="shared" si="1"/>
        <v>15140</v>
      </c>
      <c r="O21" s="63"/>
      <c r="P21" s="57" t="s">
        <v>173</v>
      </c>
    </row>
    <row r="22" spans="1:16" ht="18.75">
      <c r="A22" s="54" t="s">
        <v>48</v>
      </c>
      <c r="B22" s="37" t="s">
        <v>91</v>
      </c>
      <c r="C22" s="55" t="s">
        <v>92</v>
      </c>
      <c r="D22" s="56"/>
      <c r="E22" s="56">
        <v>21000</v>
      </c>
      <c r="F22" s="56">
        <v>450</v>
      </c>
      <c r="G22" s="56">
        <v>300</v>
      </c>
      <c r="H22" s="49">
        <f>JUNE!N22</f>
        <v>0</v>
      </c>
      <c r="I22" s="57">
        <f t="shared" si="0"/>
        <v>21750</v>
      </c>
      <c r="J22" s="58"/>
      <c r="K22" s="59"/>
      <c r="L22" s="86"/>
      <c r="M22" s="60"/>
      <c r="N22" s="57">
        <f t="shared" si="1"/>
        <v>21750</v>
      </c>
      <c r="O22" s="63" t="s">
        <v>480</v>
      </c>
      <c r="P22" s="57" t="s">
        <v>173</v>
      </c>
    </row>
    <row r="23" spans="1:16" ht="18.75">
      <c r="A23" s="54" t="s">
        <v>49</v>
      </c>
      <c r="B23" s="37" t="s">
        <v>436</v>
      </c>
      <c r="C23" s="55" t="s">
        <v>94</v>
      </c>
      <c r="D23" s="56"/>
      <c r="E23" s="56">
        <v>21000</v>
      </c>
      <c r="F23" s="56">
        <v>600</v>
      </c>
      <c r="G23" s="56">
        <v>300</v>
      </c>
      <c r="H23" s="49">
        <f>JUNE!N23</f>
        <v>1200</v>
      </c>
      <c r="I23" s="57">
        <f t="shared" si="0"/>
        <v>23100</v>
      </c>
      <c r="J23" s="58">
        <f>21600+600</f>
        <v>22200</v>
      </c>
      <c r="K23" s="59" t="s">
        <v>473</v>
      </c>
      <c r="L23" s="86">
        <v>46207</v>
      </c>
      <c r="M23" s="60"/>
      <c r="N23" s="57">
        <f>I23-J23</f>
        <v>900</v>
      </c>
      <c r="O23" s="63"/>
      <c r="P23" s="57" t="s">
        <v>173</v>
      </c>
    </row>
    <row r="24" spans="1:16" ht="18.75">
      <c r="A24" s="54" t="s">
        <v>50</v>
      </c>
      <c r="B24" s="37" t="s">
        <v>187</v>
      </c>
      <c r="C24" s="55" t="s">
        <v>95</v>
      </c>
      <c r="D24" s="56"/>
      <c r="E24" s="56">
        <v>21000</v>
      </c>
      <c r="F24" s="56">
        <v>600</v>
      </c>
      <c r="G24" s="56">
        <v>300</v>
      </c>
      <c r="H24" s="49">
        <f>JUNE!N24</f>
        <v>26350</v>
      </c>
      <c r="I24" s="57">
        <f t="shared" si="0"/>
        <v>48250</v>
      </c>
      <c r="J24" s="58">
        <f>10000+10000+35000</f>
        <v>55000</v>
      </c>
      <c r="K24" s="59" t="s">
        <v>462</v>
      </c>
      <c r="L24" s="86" t="s">
        <v>463</v>
      </c>
      <c r="M24" s="60"/>
      <c r="N24" s="57">
        <f t="shared" si="1"/>
        <v>-6750</v>
      </c>
      <c r="O24" s="63"/>
      <c r="P24" s="57" t="s">
        <v>173</v>
      </c>
    </row>
    <row r="25" spans="1:16" ht="18.75">
      <c r="A25" s="54" t="s">
        <v>51</v>
      </c>
      <c r="B25" s="37" t="s">
        <v>96</v>
      </c>
      <c r="C25" s="55"/>
      <c r="D25" s="56"/>
      <c r="E25" s="56"/>
      <c r="F25" s="56">
        <v>600</v>
      </c>
      <c r="G25" s="56"/>
      <c r="H25" s="49">
        <f>JUNE!N25</f>
        <v>0</v>
      </c>
      <c r="I25" s="57">
        <f t="shared" si="0"/>
        <v>600</v>
      </c>
      <c r="J25" s="58"/>
      <c r="K25" s="59"/>
      <c r="L25" s="59"/>
      <c r="M25" s="60"/>
      <c r="N25" s="57">
        <f t="shared" si="1"/>
        <v>600</v>
      </c>
      <c r="O25" s="63"/>
      <c r="P25" s="57" t="s">
        <v>173</v>
      </c>
    </row>
    <row r="26" spans="1:16" ht="18.75">
      <c r="A26" s="54" t="s">
        <v>52</v>
      </c>
      <c r="B26" s="37" t="s">
        <v>203</v>
      </c>
      <c r="C26" s="55" t="s">
        <v>204</v>
      </c>
      <c r="D26" s="56"/>
      <c r="E26" s="56">
        <v>22000</v>
      </c>
      <c r="F26" s="56">
        <v>300</v>
      </c>
      <c r="G26" s="56">
        <v>300</v>
      </c>
      <c r="H26" s="49">
        <f>JUNE!N26</f>
        <v>-21850</v>
      </c>
      <c r="I26" s="57">
        <f t="shared" si="0"/>
        <v>750</v>
      </c>
      <c r="J26" s="58">
        <v>600</v>
      </c>
      <c r="K26" s="59" t="s">
        <v>402</v>
      </c>
      <c r="L26" s="86">
        <v>46211</v>
      </c>
      <c r="M26" s="60"/>
      <c r="N26" s="57">
        <f t="shared" si="1"/>
        <v>150</v>
      </c>
      <c r="O26" s="63"/>
      <c r="P26" s="57" t="s">
        <v>173</v>
      </c>
    </row>
    <row r="27" spans="1:16" ht="18.75">
      <c r="A27" s="54" t="s">
        <v>53</v>
      </c>
      <c r="B27" s="37" t="s">
        <v>99</v>
      </c>
      <c r="C27" s="55" t="s">
        <v>100</v>
      </c>
      <c r="D27" s="56"/>
      <c r="E27" s="56">
        <v>21000</v>
      </c>
      <c r="F27" s="56">
        <v>300</v>
      </c>
      <c r="G27" s="56">
        <v>300</v>
      </c>
      <c r="H27" s="49">
        <f>JUNE!N27</f>
        <v>-600</v>
      </c>
      <c r="I27" s="57">
        <f t="shared" si="0"/>
        <v>21000</v>
      </c>
      <c r="J27" s="58">
        <f>22500</f>
        <v>22500</v>
      </c>
      <c r="K27" s="59" t="s">
        <v>423</v>
      </c>
      <c r="L27" s="90">
        <v>46209</v>
      </c>
      <c r="M27" s="60"/>
      <c r="N27" s="57">
        <f t="shared" si="1"/>
        <v>-1500</v>
      </c>
      <c r="O27" s="63"/>
      <c r="P27" s="57" t="s">
        <v>173</v>
      </c>
    </row>
    <row r="28" spans="1:16" ht="18.75">
      <c r="A28" s="54" t="s">
        <v>54</v>
      </c>
      <c r="B28" s="37" t="s">
        <v>145</v>
      </c>
      <c r="C28" s="55" t="s">
        <v>101</v>
      </c>
      <c r="D28" s="56"/>
      <c r="E28" s="56">
        <v>22000</v>
      </c>
      <c r="F28" s="56">
        <v>450</v>
      </c>
      <c r="G28" s="56">
        <v>300</v>
      </c>
      <c r="H28" s="49">
        <f>JUNE!N28</f>
        <v>0</v>
      </c>
      <c r="I28" s="57">
        <f t="shared" si="0"/>
        <v>22750</v>
      </c>
      <c r="J28" s="58">
        <v>22750</v>
      </c>
      <c r="K28" s="59" t="s">
        <v>435</v>
      </c>
      <c r="L28" s="86">
        <v>46209</v>
      </c>
      <c r="M28" s="60"/>
      <c r="N28" s="57">
        <f t="shared" si="1"/>
        <v>0</v>
      </c>
      <c r="O28" s="63"/>
      <c r="P28" s="57" t="s">
        <v>173</v>
      </c>
    </row>
    <row r="29" spans="1:16" ht="18.75">
      <c r="A29" s="54" t="s">
        <v>55</v>
      </c>
      <c r="B29" s="37" t="s">
        <v>397</v>
      </c>
      <c r="C29" s="55" t="s">
        <v>398</v>
      </c>
      <c r="D29" s="56"/>
      <c r="E29" s="56">
        <v>21000</v>
      </c>
      <c r="F29" s="56">
        <v>300</v>
      </c>
      <c r="G29" s="56">
        <v>300</v>
      </c>
      <c r="H29" s="49">
        <f>JUNE!N29</f>
        <v>300</v>
      </c>
      <c r="I29" s="57">
        <f t="shared" si="0"/>
        <v>21900</v>
      </c>
      <c r="J29" s="58">
        <v>20000</v>
      </c>
      <c r="K29" s="59" t="s">
        <v>426</v>
      </c>
      <c r="L29" s="86">
        <v>46207</v>
      </c>
      <c r="N29" s="57">
        <f t="shared" si="1"/>
        <v>1900</v>
      </c>
      <c r="O29" s="60"/>
      <c r="P29" s="57" t="s">
        <v>173</v>
      </c>
    </row>
    <row r="30" spans="1:16" ht="18.75" customHeight="1">
      <c r="A30" s="54" t="s">
        <v>56</v>
      </c>
      <c r="B30" s="37" t="s">
        <v>104</v>
      </c>
      <c r="C30" s="55" t="s">
        <v>105</v>
      </c>
      <c r="D30" s="56"/>
      <c r="E30" s="56">
        <v>20000</v>
      </c>
      <c r="F30" s="56">
        <v>300</v>
      </c>
      <c r="G30" s="56">
        <v>300</v>
      </c>
      <c r="H30" s="49">
        <f>JUNE!N30</f>
        <v>-600</v>
      </c>
      <c r="I30" s="57">
        <f t="shared" si="0"/>
        <v>20000</v>
      </c>
      <c r="J30" s="58">
        <f>21350</f>
        <v>21350</v>
      </c>
      <c r="K30" s="59" t="s">
        <v>418</v>
      </c>
      <c r="L30" s="86">
        <v>46208</v>
      </c>
      <c r="M30" s="60"/>
      <c r="N30" s="57">
        <f t="shared" si="1"/>
        <v>-1350</v>
      </c>
      <c r="O30" s="63"/>
      <c r="P30" s="57" t="s">
        <v>173</v>
      </c>
    </row>
    <row r="31" spans="1:16" ht="17.25" customHeight="1">
      <c r="A31" s="54" t="s">
        <v>57</v>
      </c>
      <c r="B31" s="37" t="s">
        <v>424</v>
      </c>
      <c r="C31" s="55" t="s">
        <v>106</v>
      </c>
      <c r="D31" s="56"/>
      <c r="E31" s="56">
        <v>21000</v>
      </c>
      <c r="F31" s="56">
        <v>0</v>
      </c>
      <c r="G31" s="56">
        <v>300</v>
      </c>
      <c r="H31" s="49">
        <v>0</v>
      </c>
      <c r="I31" s="57">
        <f t="shared" si="0"/>
        <v>21300</v>
      </c>
      <c r="J31" s="58">
        <v>42000</v>
      </c>
      <c r="K31" s="59" t="s">
        <v>417</v>
      </c>
      <c r="L31" s="86">
        <v>46207</v>
      </c>
      <c r="M31" s="60"/>
      <c r="N31" s="57">
        <f t="shared" si="1"/>
        <v>-20700</v>
      </c>
      <c r="O31" s="63"/>
      <c r="P31" s="57" t="s">
        <v>173</v>
      </c>
    </row>
    <row r="32" spans="1:16" ht="21.75" customHeight="1">
      <c r="A32" s="54" t="s">
        <v>58</v>
      </c>
      <c r="B32" s="37" t="s">
        <v>350</v>
      </c>
      <c r="C32" s="55" t="s">
        <v>351</v>
      </c>
      <c r="D32" s="56"/>
      <c r="E32" s="56">
        <v>22000</v>
      </c>
      <c r="F32" s="56">
        <v>750</v>
      </c>
      <c r="G32" s="56"/>
      <c r="H32" s="49">
        <f>JUNE!N32</f>
        <v>0</v>
      </c>
      <c r="I32" s="57">
        <f t="shared" si="0"/>
        <v>22750</v>
      </c>
      <c r="J32" s="58">
        <v>22600</v>
      </c>
      <c r="K32" s="59" t="s">
        <v>437</v>
      </c>
      <c r="L32" s="86">
        <v>46204</v>
      </c>
      <c r="M32" s="60"/>
      <c r="N32" s="57">
        <f t="shared" si="1"/>
        <v>150</v>
      </c>
      <c r="O32" s="63"/>
      <c r="P32" s="57" t="s">
        <v>173</v>
      </c>
    </row>
    <row r="33" spans="1:16" ht="20.25" customHeight="1">
      <c r="A33" s="54" t="s">
        <v>59</v>
      </c>
      <c r="B33" s="37" t="s">
        <v>109</v>
      </c>
      <c r="C33" s="55" t="s">
        <v>110</v>
      </c>
      <c r="D33" s="56"/>
      <c r="E33" s="56">
        <v>12000</v>
      </c>
      <c r="F33" s="56">
        <v>600</v>
      </c>
      <c r="G33" s="56">
        <v>300</v>
      </c>
      <c r="H33" s="49">
        <f>JUNE!N33</f>
        <v>27300</v>
      </c>
      <c r="I33" s="57">
        <f t="shared" si="0"/>
        <v>40200</v>
      </c>
      <c r="J33" s="58">
        <v>10000</v>
      </c>
      <c r="K33" s="59" t="s">
        <v>438</v>
      </c>
      <c r="L33" s="86">
        <v>46214</v>
      </c>
      <c r="M33" s="60"/>
      <c r="N33" s="57">
        <f t="shared" si="1"/>
        <v>30200</v>
      </c>
      <c r="O33" s="63" t="s">
        <v>480</v>
      </c>
      <c r="P33" s="57" t="s">
        <v>173</v>
      </c>
    </row>
    <row r="34" spans="1:16" ht="20.25" customHeight="1">
      <c r="A34" s="54" t="s">
        <v>60</v>
      </c>
      <c r="B34" s="37" t="s">
        <v>111</v>
      </c>
      <c r="C34" s="55" t="s">
        <v>112</v>
      </c>
      <c r="D34" s="56"/>
      <c r="E34" s="56">
        <v>20000</v>
      </c>
      <c r="F34" s="56">
        <v>600</v>
      </c>
      <c r="G34" s="56">
        <v>300</v>
      </c>
      <c r="H34" s="49">
        <f>JUNE!N34</f>
        <v>1050</v>
      </c>
      <c r="I34" s="57">
        <f t="shared" si="0"/>
        <v>21950</v>
      </c>
      <c r="J34" s="58">
        <f>21000+21000</f>
        <v>42000</v>
      </c>
      <c r="K34" s="59" t="s">
        <v>458</v>
      </c>
      <c r="L34" s="86" t="s">
        <v>459</v>
      </c>
      <c r="M34" s="60"/>
      <c r="N34" s="57">
        <f>I34-J34</f>
        <v>-20050</v>
      </c>
      <c r="O34" s="63"/>
      <c r="P34" s="57" t="s">
        <v>173</v>
      </c>
    </row>
    <row r="35" spans="1:16" ht="17.25" customHeight="1">
      <c r="A35" s="54" t="s">
        <v>61</v>
      </c>
      <c r="B35" s="37" t="s">
        <v>113</v>
      </c>
      <c r="C35" s="55" t="s">
        <v>114</v>
      </c>
      <c r="D35" s="56"/>
      <c r="E35" s="56">
        <v>20000</v>
      </c>
      <c r="F35" s="56">
        <v>1050</v>
      </c>
      <c r="G35" s="56">
        <v>300</v>
      </c>
      <c r="H35" s="49">
        <f>JUNE!N35</f>
        <v>1200</v>
      </c>
      <c r="I35" s="57">
        <f t="shared" si="0"/>
        <v>22550</v>
      </c>
      <c r="J35" s="58">
        <v>20300</v>
      </c>
      <c r="K35" s="59" t="s">
        <v>439</v>
      </c>
      <c r="L35" s="86">
        <v>46205</v>
      </c>
      <c r="M35" s="60"/>
      <c r="N35" s="57">
        <f t="shared" si="1"/>
        <v>2250</v>
      </c>
      <c r="O35" s="63"/>
      <c r="P35" s="57" t="s">
        <v>173</v>
      </c>
    </row>
    <row r="36" spans="1:16" ht="15.75" customHeight="1">
      <c r="A36" s="54" t="s">
        <v>62</v>
      </c>
      <c r="B36" s="37" t="s">
        <v>115</v>
      </c>
      <c r="C36" s="55" t="s">
        <v>116</v>
      </c>
      <c r="D36" s="56"/>
      <c r="E36" s="56">
        <v>22000</v>
      </c>
      <c r="F36" s="56">
        <v>300</v>
      </c>
      <c r="G36" s="56">
        <v>300</v>
      </c>
      <c r="H36" s="49">
        <f>JUNE!N36</f>
        <v>0</v>
      </c>
      <c r="I36" s="57">
        <f t="shared" si="0"/>
        <v>22600</v>
      </c>
      <c r="J36" s="58">
        <f>23200</f>
        <v>23200</v>
      </c>
      <c r="K36" s="59" t="s">
        <v>421</v>
      </c>
      <c r="L36" s="86">
        <v>46204</v>
      </c>
      <c r="M36" s="60"/>
      <c r="N36" s="57">
        <f t="shared" si="1"/>
        <v>-600</v>
      </c>
      <c r="O36" s="63"/>
      <c r="P36" s="57" t="s">
        <v>173</v>
      </c>
    </row>
    <row r="37" spans="1:16" ht="20.25" customHeight="1">
      <c r="A37" s="54" t="s">
        <v>63</v>
      </c>
      <c r="B37" s="37" t="s">
        <v>117</v>
      </c>
      <c r="C37" s="55" t="s">
        <v>118</v>
      </c>
      <c r="D37" s="56"/>
      <c r="E37" s="56">
        <v>21000</v>
      </c>
      <c r="F37" s="56">
        <v>1200</v>
      </c>
      <c r="G37" s="56">
        <v>300</v>
      </c>
      <c r="H37" s="49">
        <f>JUNE!N37</f>
        <v>22200</v>
      </c>
      <c r="I37" s="57">
        <f t="shared" si="0"/>
        <v>44700</v>
      </c>
      <c r="J37" s="58">
        <f>18000+24550</f>
        <v>42550</v>
      </c>
      <c r="K37" s="59" t="s">
        <v>440</v>
      </c>
      <c r="L37" s="59" t="s">
        <v>441</v>
      </c>
      <c r="M37" s="60"/>
      <c r="N37" s="57">
        <f t="shared" si="1"/>
        <v>2150</v>
      </c>
      <c r="O37" s="63"/>
      <c r="P37" s="57" t="s">
        <v>173</v>
      </c>
    </row>
    <row r="38" spans="1:16" ht="21.75" customHeight="1">
      <c r="A38" s="54" t="s">
        <v>64</v>
      </c>
      <c r="B38" s="37" t="s">
        <v>120</v>
      </c>
      <c r="C38" s="55" t="s">
        <v>119</v>
      </c>
      <c r="D38" s="56"/>
      <c r="E38" s="56">
        <v>21000</v>
      </c>
      <c r="F38" s="56">
        <v>1050</v>
      </c>
      <c r="G38" s="56">
        <v>300</v>
      </c>
      <c r="H38" s="49">
        <f>JUNE!N38</f>
        <v>0</v>
      </c>
      <c r="I38" s="57">
        <f t="shared" si="0"/>
        <v>22350</v>
      </c>
      <c r="J38" s="58">
        <v>21450</v>
      </c>
      <c r="K38" s="59" t="s">
        <v>427</v>
      </c>
      <c r="L38" s="86">
        <v>46208</v>
      </c>
      <c r="M38" s="60"/>
      <c r="N38" s="57">
        <f t="shared" si="1"/>
        <v>900</v>
      </c>
      <c r="O38" s="63"/>
      <c r="P38" s="57" t="s">
        <v>173</v>
      </c>
    </row>
    <row r="39" spans="1:16" ht="18.75" customHeight="1">
      <c r="A39" s="54" t="s">
        <v>65</v>
      </c>
      <c r="B39" s="37" t="s">
        <v>382</v>
      </c>
      <c r="C39" s="55" t="s">
        <v>383</v>
      </c>
      <c r="D39" s="56"/>
      <c r="E39" s="56">
        <v>20000</v>
      </c>
      <c r="F39" s="56">
        <v>450</v>
      </c>
      <c r="G39" s="56">
        <v>300</v>
      </c>
      <c r="H39" s="49">
        <f>JUNE!N39</f>
        <v>-19700</v>
      </c>
      <c r="I39" s="57">
        <f t="shared" si="0"/>
        <v>1050</v>
      </c>
      <c r="J39" s="58">
        <v>20600</v>
      </c>
      <c r="K39" s="59" t="s">
        <v>425</v>
      </c>
      <c r="L39" s="86">
        <v>46205</v>
      </c>
      <c r="M39" s="60"/>
      <c r="N39" s="57">
        <f t="shared" si="1"/>
        <v>-19550</v>
      </c>
      <c r="O39" s="63"/>
      <c r="P39" s="57" t="s">
        <v>173</v>
      </c>
    </row>
    <row r="40" spans="1:16" ht="18.75">
      <c r="A40" s="54" t="s">
        <v>66</v>
      </c>
      <c r="B40" s="37" t="s">
        <v>124</v>
      </c>
      <c r="C40" s="55" t="s">
        <v>123</v>
      </c>
      <c r="D40" s="56"/>
      <c r="E40" s="56">
        <v>20000</v>
      </c>
      <c r="F40" s="56">
        <v>1800</v>
      </c>
      <c r="G40" s="56">
        <v>300</v>
      </c>
      <c r="H40" s="49">
        <f>JUNE!N40</f>
        <v>-1200</v>
      </c>
      <c r="I40" s="57">
        <f t="shared" si="0"/>
        <v>20900</v>
      </c>
      <c r="J40" s="58">
        <f>21050</f>
        <v>21050</v>
      </c>
      <c r="K40" s="59" t="s">
        <v>420</v>
      </c>
      <c r="L40" s="86">
        <v>46207</v>
      </c>
      <c r="M40" s="60"/>
      <c r="N40" s="57">
        <f t="shared" si="1"/>
        <v>-150</v>
      </c>
      <c r="O40" s="63"/>
      <c r="P40" s="57" t="s">
        <v>173</v>
      </c>
    </row>
    <row r="41" spans="1:16" ht="18.75">
      <c r="A41" s="54" t="s">
        <v>67</v>
      </c>
      <c r="B41" s="37" t="s">
        <v>125</v>
      </c>
      <c r="C41" s="55" t="s">
        <v>126</v>
      </c>
      <c r="D41" s="61"/>
      <c r="E41" s="56">
        <v>12000</v>
      </c>
      <c r="F41" s="56">
        <v>1050</v>
      </c>
      <c r="G41" s="56">
        <v>300</v>
      </c>
      <c r="H41" s="49">
        <f>JUNE!N41</f>
        <v>-300</v>
      </c>
      <c r="I41" s="57">
        <f t="shared" si="0"/>
        <v>13050</v>
      </c>
      <c r="J41" s="58">
        <v>12300</v>
      </c>
      <c r="K41" s="59" t="s">
        <v>442</v>
      </c>
      <c r="L41" s="86">
        <v>46199</v>
      </c>
      <c r="M41" s="60"/>
      <c r="N41" s="57">
        <f t="shared" si="1"/>
        <v>750</v>
      </c>
      <c r="O41" s="63"/>
      <c r="P41" s="57" t="s">
        <v>173</v>
      </c>
    </row>
    <row r="42" spans="1:16" ht="17.25" customHeight="1">
      <c r="A42" s="54" t="s">
        <v>68</v>
      </c>
      <c r="B42" s="37" t="s">
        <v>127</v>
      </c>
      <c r="C42" s="55" t="s">
        <v>128</v>
      </c>
      <c r="D42" s="56"/>
      <c r="E42" s="56">
        <v>20000</v>
      </c>
      <c r="F42" s="56">
        <v>750</v>
      </c>
      <c r="G42" s="56">
        <v>300</v>
      </c>
      <c r="H42" s="49">
        <f>JUNE!N42</f>
        <v>40800</v>
      </c>
      <c r="I42" s="57">
        <f t="shared" si="0"/>
        <v>61850</v>
      </c>
      <c r="J42" s="58">
        <f>20900</f>
        <v>20900</v>
      </c>
      <c r="K42" s="59" t="s">
        <v>429</v>
      </c>
      <c r="L42" s="86">
        <v>46201</v>
      </c>
      <c r="M42" s="60"/>
      <c r="N42" s="57">
        <f t="shared" si="1"/>
        <v>40950</v>
      </c>
      <c r="O42" s="63" t="s">
        <v>480</v>
      </c>
      <c r="P42" s="57" t="s">
        <v>173</v>
      </c>
    </row>
    <row r="43" spans="1:16" ht="18.75">
      <c r="A43" s="54" t="s">
        <v>69</v>
      </c>
      <c r="B43" s="37" t="s">
        <v>121</v>
      </c>
      <c r="C43" s="55" t="s">
        <v>122</v>
      </c>
      <c r="D43" s="56"/>
      <c r="E43" s="56">
        <v>20000</v>
      </c>
      <c r="F43" s="56">
        <v>900</v>
      </c>
      <c r="G43" s="56">
        <v>300</v>
      </c>
      <c r="H43" s="49">
        <f>JUNE!N43</f>
        <v>0</v>
      </c>
      <c r="I43" s="57">
        <f t="shared" si="0"/>
        <v>21200</v>
      </c>
      <c r="J43" s="58">
        <f>20300+10000</f>
        <v>30300</v>
      </c>
      <c r="K43" s="86" t="s">
        <v>497</v>
      </c>
      <c r="L43" s="86">
        <v>46206</v>
      </c>
      <c r="M43" s="60"/>
      <c r="N43" s="57">
        <f t="shared" si="1"/>
        <v>-9100</v>
      </c>
      <c r="O43" s="63"/>
      <c r="P43" s="57" t="s">
        <v>173</v>
      </c>
    </row>
    <row r="44" spans="1:16" ht="18.75">
      <c r="A44" s="54" t="s">
        <v>70</v>
      </c>
      <c r="B44" s="37" t="s">
        <v>131</v>
      </c>
      <c r="C44" s="55" t="s">
        <v>132</v>
      </c>
      <c r="D44" s="56"/>
      <c r="E44" s="56">
        <v>20000</v>
      </c>
      <c r="F44" s="56">
        <v>1050</v>
      </c>
      <c r="G44" s="56">
        <v>300</v>
      </c>
      <c r="H44" s="49">
        <f>JUNE!N44</f>
        <v>300</v>
      </c>
      <c r="I44" s="57">
        <f t="shared" si="0"/>
        <v>21650</v>
      </c>
      <c r="J44" s="58">
        <v>20450</v>
      </c>
      <c r="K44" s="86" t="s">
        <v>444</v>
      </c>
      <c r="L44" s="86">
        <v>46204</v>
      </c>
      <c r="M44" s="60"/>
      <c r="N44" s="57">
        <f t="shared" si="1"/>
        <v>1200</v>
      </c>
      <c r="O44" s="63"/>
      <c r="P44" s="57" t="s">
        <v>173</v>
      </c>
    </row>
    <row r="45" spans="1:16" ht="18.75">
      <c r="A45" s="54" t="s">
        <v>71</v>
      </c>
      <c r="B45" s="37" t="s">
        <v>448</v>
      </c>
      <c r="C45" s="55" t="s">
        <v>449</v>
      </c>
      <c r="D45" s="56">
        <v>21000</v>
      </c>
      <c r="E45" s="56"/>
      <c r="F45" s="56">
        <v>0</v>
      </c>
      <c r="G45" s="56"/>
      <c r="H45" s="49">
        <f>JUNE!N45</f>
        <v>0</v>
      </c>
      <c r="I45" s="57">
        <f t="shared" si="0"/>
        <v>21000</v>
      </c>
      <c r="J45" s="58">
        <f>21000</f>
        <v>21000</v>
      </c>
      <c r="K45" s="59" t="s">
        <v>450</v>
      </c>
      <c r="L45" s="59" t="s">
        <v>451</v>
      </c>
      <c r="M45" s="60"/>
      <c r="N45" s="57">
        <f t="shared" si="1"/>
        <v>0</v>
      </c>
      <c r="O45" s="63"/>
      <c r="P45" s="57" t="s">
        <v>173</v>
      </c>
    </row>
    <row r="46" spans="1:16" ht="18.75">
      <c r="A46" s="54" t="s">
        <v>72</v>
      </c>
      <c r="B46" s="37" t="s">
        <v>135</v>
      </c>
      <c r="C46" s="55" t="s">
        <v>136</v>
      </c>
      <c r="D46" s="56"/>
      <c r="E46" s="56">
        <v>12000</v>
      </c>
      <c r="F46" s="56">
        <v>300</v>
      </c>
      <c r="G46" s="56">
        <v>300</v>
      </c>
      <c r="H46" s="49">
        <f>JUNE!N46</f>
        <v>1200</v>
      </c>
      <c r="I46" s="57">
        <f t="shared" si="0"/>
        <v>13800</v>
      </c>
      <c r="J46" s="58">
        <f>12450</f>
        <v>12450</v>
      </c>
      <c r="K46" s="59" t="s">
        <v>446</v>
      </c>
      <c r="L46" s="86" t="s">
        <v>447</v>
      </c>
      <c r="M46" s="60"/>
      <c r="N46" s="57">
        <f t="shared" si="1"/>
        <v>1350</v>
      </c>
      <c r="O46" s="63"/>
      <c r="P46" s="57" t="s">
        <v>173</v>
      </c>
    </row>
    <row r="47" spans="1:16" s="14" customFormat="1" ht="18.75">
      <c r="A47" s="54" t="s">
        <v>73</v>
      </c>
      <c r="B47" s="37" t="s">
        <v>137</v>
      </c>
      <c r="C47" s="55" t="s">
        <v>139</v>
      </c>
      <c r="D47" s="62"/>
      <c r="E47" s="62">
        <v>20000</v>
      </c>
      <c r="F47" s="62">
        <v>450</v>
      </c>
      <c r="G47" s="56">
        <v>300</v>
      </c>
      <c r="H47" s="49">
        <f>JUNE!N47</f>
        <v>-900</v>
      </c>
      <c r="I47" s="57">
        <f t="shared" si="0"/>
        <v>19850</v>
      </c>
      <c r="J47" s="58">
        <v>21050</v>
      </c>
      <c r="K47" s="59" t="s">
        <v>422</v>
      </c>
      <c r="L47" s="86">
        <v>46209</v>
      </c>
      <c r="M47" s="60"/>
      <c r="N47" s="57">
        <f t="shared" si="1"/>
        <v>-1200</v>
      </c>
      <c r="O47" s="63"/>
      <c r="P47" s="57" t="s">
        <v>173</v>
      </c>
    </row>
    <row r="48" spans="1:16" ht="18.75">
      <c r="A48" s="54" t="s">
        <v>74</v>
      </c>
      <c r="B48" s="37" t="s">
        <v>143</v>
      </c>
      <c r="C48" s="55" t="s">
        <v>138</v>
      </c>
      <c r="D48" s="56"/>
      <c r="E48" s="56">
        <v>20000</v>
      </c>
      <c r="F48" s="56">
        <v>1050</v>
      </c>
      <c r="G48" s="56">
        <v>300</v>
      </c>
      <c r="H48" s="49">
        <f>JUNE!N48</f>
        <v>-600</v>
      </c>
      <c r="I48" s="57">
        <f t="shared" si="0"/>
        <v>20750</v>
      </c>
      <c r="J48" s="58">
        <f>20000+20000+600</f>
        <v>40600</v>
      </c>
      <c r="K48" s="59" t="s">
        <v>464</v>
      </c>
      <c r="L48" s="86" t="s">
        <v>465</v>
      </c>
      <c r="M48" s="60"/>
      <c r="N48" s="57">
        <f t="shared" si="1"/>
        <v>-19850</v>
      </c>
      <c r="O48" s="63"/>
      <c r="P48" s="57" t="s">
        <v>173</v>
      </c>
    </row>
    <row r="49" spans="1:16" ht="18.75">
      <c r="A49" s="65" t="s">
        <v>20</v>
      </c>
      <c r="B49" s="66"/>
      <c r="C49" s="67"/>
      <c r="D49" s="68">
        <f t="shared" ref="D49:J49" si="2">SUM(D10:D48)</f>
        <v>42000</v>
      </c>
      <c r="E49" s="68">
        <f t="shared" si="2"/>
        <v>678000</v>
      </c>
      <c r="F49" s="68">
        <f t="shared" si="2"/>
        <v>23400</v>
      </c>
      <c r="G49" s="68">
        <f t="shared" si="2"/>
        <v>9900</v>
      </c>
      <c r="H49" s="69">
        <f t="shared" si="2"/>
        <v>49100</v>
      </c>
      <c r="I49" s="57">
        <f t="shared" si="2"/>
        <v>802400</v>
      </c>
      <c r="J49" s="70">
        <f t="shared" si="2"/>
        <v>826600</v>
      </c>
      <c r="K49" s="59"/>
      <c r="L49" s="59"/>
      <c r="M49" s="68"/>
      <c r="N49" s="68">
        <f>SUM(N10:N48)</f>
        <v>-24200</v>
      </c>
      <c r="O49" s="71"/>
      <c r="P49" s="68"/>
    </row>
    <row r="50" spans="1:16" ht="18.75">
      <c r="A50" s="36"/>
      <c r="B50" s="37"/>
      <c r="C50" s="67"/>
      <c r="D50" s="72"/>
      <c r="E50" s="73">
        <v>0</v>
      </c>
      <c r="F50" s="73"/>
      <c r="G50" s="73"/>
      <c r="H50" s="74"/>
      <c r="I50" s="73"/>
      <c r="J50" s="73"/>
      <c r="K50" s="36"/>
      <c r="L50" s="36"/>
      <c r="M50" s="36"/>
      <c r="N50" s="57"/>
      <c r="O50" s="73"/>
      <c r="P50" s="57"/>
    </row>
    <row r="51" spans="1:16" ht="18.75">
      <c r="A51" s="75" t="s">
        <v>21</v>
      </c>
      <c r="B51" s="37"/>
      <c r="C51" s="67"/>
      <c r="D51" s="72"/>
      <c r="E51" s="73"/>
      <c r="F51" s="73"/>
      <c r="G51" s="73"/>
      <c r="H51" s="74"/>
      <c r="I51" s="73"/>
      <c r="J51" s="73"/>
      <c r="K51" s="36"/>
      <c r="L51" s="36"/>
      <c r="M51" s="36"/>
      <c r="N51" s="57"/>
      <c r="O51" s="73"/>
      <c r="P51" s="57"/>
    </row>
    <row r="52" spans="1:16" s="26" customFormat="1" ht="18.75">
      <c r="A52" s="37" t="s">
        <v>22</v>
      </c>
      <c r="B52" s="37"/>
      <c r="C52" s="67"/>
      <c r="D52" s="37"/>
      <c r="E52" s="37"/>
      <c r="F52" s="37"/>
      <c r="G52" s="37"/>
      <c r="H52" s="49"/>
      <c r="I52" s="37"/>
      <c r="J52" s="76">
        <f>J49*5%</f>
        <v>41330</v>
      </c>
      <c r="K52" s="37"/>
      <c r="L52" s="37"/>
      <c r="M52" s="37"/>
      <c r="N52" s="57"/>
      <c r="O52" s="45"/>
      <c r="P52" s="57"/>
    </row>
    <row r="53" spans="1:16" ht="21">
      <c r="A53" s="45" t="s">
        <v>23</v>
      </c>
      <c r="B53" s="45"/>
      <c r="C53" s="45"/>
      <c r="D53" s="45"/>
      <c r="E53" s="45"/>
      <c r="F53" s="45"/>
      <c r="G53" s="45"/>
      <c r="H53" s="69"/>
      <c r="I53" s="45"/>
      <c r="J53" s="77">
        <f>SUM(J52:J52)</f>
        <v>41330</v>
      </c>
      <c r="K53" s="45"/>
      <c r="L53" s="45"/>
      <c r="M53" s="37"/>
      <c r="N53" s="45"/>
      <c r="O53" s="45"/>
      <c r="P53" s="45"/>
    </row>
    <row r="54" spans="1:16" ht="21">
      <c r="A54" s="45"/>
      <c r="B54" s="45"/>
      <c r="C54" s="45"/>
      <c r="D54" s="45"/>
      <c r="E54" s="45"/>
      <c r="F54" s="45"/>
      <c r="G54" s="45"/>
      <c r="H54" s="69"/>
      <c r="I54" s="45"/>
      <c r="J54" s="77"/>
      <c r="K54" s="45"/>
      <c r="L54" s="45"/>
      <c r="M54" s="37"/>
      <c r="N54" s="45"/>
      <c r="O54" s="45"/>
      <c r="P54" s="45"/>
    </row>
    <row r="55" spans="1:16" ht="18.75">
      <c r="A55" s="37" t="s">
        <v>24</v>
      </c>
      <c r="B55" s="37"/>
      <c r="C55" s="37"/>
      <c r="D55" s="37"/>
      <c r="E55" s="37"/>
      <c r="F55" s="37"/>
      <c r="G55" s="37"/>
      <c r="H55" s="49"/>
      <c r="I55" s="37"/>
      <c r="J55" s="78">
        <f>JUNE!N56</f>
        <v>48510</v>
      </c>
      <c r="K55" s="79" t="s">
        <v>25</v>
      </c>
      <c r="L55" s="79"/>
      <c r="M55" s="79" t="s">
        <v>26</v>
      </c>
      <c r="N55" s="79" t="s">
        <v>27</v>
      </c>
      <c r="O55" s="66"/>
      <c r="P55" s="79"/>
    </row>
    <row r="56" spans="1:16" ht="19.5" thickBot="1">
      <c r="A56" s="36" t="s">
        <v>28</v>
      </c>
      <c r="B56" s="36"/>
      <c r="C56" s="36"/>
      <c r="D56" s="36"/>
      <c r="E56" s="36"/>
      <c r="F56" s="36"/>
      <c r="G56" s="36"/>
      <c r="H56" s="74"/>
      <c r="I56" s="45"/>
      <c r="J56" s="81">
        <f>J53+J55</f>
        <v>89840</v>
      </c>
      <c r="K56" s="69">
        <v>50000</v>
      </c>
      <c r="L56" s="69"/>
      <c r="M56" s="69"/>
      <c r="N56" s="82">
        <f>J56-K56-M56</f>
        <v>39840</v>
      </c>
      <c r="O56" s="66"/>
      <c r="P56" s="82"/>
    </row>
    <row r="57" spans="1:16" ht="19.5" thickTop="1">
      <c r="A57" s="37" t="s">
        <v>29</v>
      </c>
      <c r="B57" s="37"/>
      <c r="C57" s="37"/>
      <c r="D57" s="37"/>
      <c r="E57" s="37"/>
      <c r="F57" s="37"/>
      <c r="G57" s="37"/>
      <c r="H57" s="49"/>
      <c r="I57" s="37"/>
      <c r="J57" s="37"/>
      <c r="K57" s="37"/>
      <c r="L57" s="37"/>
      <c r="M57" s="37"/>
      <c r="N57" s="84">
        <v>46234</v>
      </c>
      <c r="O57" s="85"/>
      <c r="P57" s="84"/>
    </row>
    <row r="61" spans="1:16">
      <c r="J61" s="5">
        <f>J49/I49*100</f>
        <v>103.01595214356929</v>
      </c>
    </row>
    <row r="64" spans="1:16">
      <c r="I64" s="33"/>
    </row>
    <row r="65" spans="9:9">
      <c r="I65" s="33"/>
    </row>
    <row r="107" spans="1:1">
      <c r="A107" s="5" t="s">
        <v>31</v>
      </c>
    </row>
  </sheetData>
  <mergeCells count="1">
    <mergeCell ref="A3:N3"/>
  </mergeCells>
  <pageMargins left="0.25" right="0.25" top="0.75" bottom="0.75" header="0.3" footer="0.3"/>
  <pageSetup scale="4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9713-FE83-443A-9AAE-927E10C3FA9C}">
  <dimension ref="A1:P61"/>
  <sheetViews>
    <sheetView tabSelected="1" topLeftCell="C10" zoomScale="55" zoomScaleNormal="55" workbookViewId="0">
      <selection activeCell="A23" sqref="A23:XFD23"/>
    </sheetView>
  </sheetViews>
  <sheetFormatPr defaultRowHeight="15"/>
  <cols>
    <col min="2" max="2" width="33.42578125" customWidth="1"/>
    <col min="3" max="3" width="19.5703125" customWidth="1"/>
    <col min="4" max="4" width="18.5703125" customWidth="1"/>
    <col min="5" max="5" width="20.28515625" customWidth="1"/>
    <col min="6" max="6" width="15.28515625" customWidth="1"/>
    <col min="7" max="7" width="17.42578125" customWidth="1"/>
    <col min="8" max="8" width="22" customWidth="1"/>
    <col min="9" max="9" width="13" customWidth="1"/>
    <col min="10" max="10" width="16.28515625" customWidth="1"/>
    <col min="11" max="11" width="20.28515625" customWidth="1"/>
    <col min="12" max="12" width="17.28515625" customWidth="1"/>
    <col min="13" max="13" width="17" customWidth="1"/>
    <col min="14" max="14" width="18" customWidth="1"/>
    <col min="15" max="16" width="12.85546875" customWidth="1"/>
    <col min="17" max="17" width="17.7109375" customWidth="1"/>
  </cols>
  <sheetData>
    <row r="1" spans="1:16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3"/>
      <c r="P1" s="43"/>
    </row>
    <row r="2" spans="1:16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3"/>
      <c r="P2" s="43"/>
    </row>
    <row r="3" spans="1:16" ht="18.75">
      <c r="A3" s="120" t="s">
        <v>416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36"/>
      <c r="P3" s="36"/>
    </row>
    <row r="4" spans="1:16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44"/>
      <c r="P4" s="44"/>
    </row>
    <row r="5" spans="1:16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44"/>
      <c r="P5" s="44"/>
    </row>
    <row r="6" spans="1:16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44"/>
      <c r="P6" s="44"/>
    </row>
    <row r="7" spans="1:16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44"/>
      <c r="P7" s="44"/>
    </row>
    <row r="8" spans="1:16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44"/>
      <c r="P8" s="44"/>
    </row>
    <row r="9" spans="1:16" ht="18.75" customHeight="1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210</v>
      </c>
      <c r="M9" s="36" t="s">
        <v>17</v>
      </c>
      <c r="N9" s="41" t="s">
        <v>18</v>
      </c>
      <c r="O9" s="41" t="s">
        <v>30</v>
      </c>
      <c r="P9" s="41" t="s">
        <v>19</v>
      </c>
    </row>
    <row r="10" spans="1:16" ht="18.75">
      <c r="A10" s="54" t="s">
        <v>37</v>
      </c>
      <c r="B10" s="37" t="s">
        <v>140</v>
      </c>
      <c r="C10" s="55" t="s">
        <v>79</v>
      </c>
      <c r="D10" s="56"/>
      <c r="E10" s="56">
        <v>11000</v>
      </c>
      <c r="F10" s="56">
        <v>300</v>
      </c>
      <c r="G10" s="56">
        <v>300</v>
      </c>
      <c r="H10" s="49">
        <f>JULY!N10</f>
        <v>-450</v>
      </c>
      <c r="I10" s="57">
        <f>D10+E10+F10+G10+H10</f>
        <v>11150</v>
      </c>
      <c r="J10" s="58">
        <f>11600</f>
        <v>11600</v>
      </c>
      <c r="K10" s="59" t="s">
        <v>521</v>
      </c>
      <c r="L10" s="86"/>
      <c r="M10" s="60" t="s">
        <v>468</v>
      </c>
      <c r="N10" s="57">
        <f>I10-J10</f>
        <v>-450</v>
      </c>
      <c r="O10" s="63"/>
      <c r="P10" s="63" t="s">
        <v>173</v>
      </c>
    </row>
    <row r="11" spans="1:16" ht="18.75">
      <c r="A11" s="54" t="s">
        <v>38</v>
      </c>
      <c r="B11" s="37" t="s">
        <v>456</v>
      </c>
      <c r="C11" s="55" t="s">
        <v>457</v>
      </c>
      <c r="D11" s="56"/>
      <c r="E11" s="56">
        <v>21000</v>
      </c>
      <c r="F11" s="56">
        <v>600</v>
      </c>
      <c r="G11" s="56">
        <v>300</v>
      </c>
      <c r="H11" s="49">
        <f>JULY!N11</f>
        <v>-11000</v>
      </c>
      <c r="I11" s="57">
        <f t="shared" ref="I11:I48" si="0">D11+E11+F11+G11+H11</f>
        <v>10900</v>
      </c>
      <c r="J11" s="58">
        <f>10000+21750</f>
        <v>31750</v>
      </c>
      <c r="K11" s="59" t="s">
        <v>522</v>
      </c>
      <c r="L11" s="86" t="s">
        <v>523</v>
      </c>
      <c r="M11" s="60" t="s">
        <v>468</v>
      </c>
      <c r="N11" s="57">
        <f t="shared" ref="N11:N48" si="1">I11-J11</f>
        <v>-20850</v>
      </c>
      <c r="O11" s="63"/>
      <c r="P11" s="63" t="s">
        <v>173</v>
      </c>
    </row>
    <row r="12" spans="1:16" ht="18.75">
      <c r="A12" s="54" t="s">
        <v>39</v>
      </c>
      <c r="B12" s="37" t="s">
        <v>82</v>
      </c>
      <c r="C12" s="55" t="s">
        <v>83</v>
      </c>
      <c r="D12" s="56"/>
      <c r="E12" s="56">
        <v>22000</v>
      </c>
      <c r="F12" s="56">
        <v>450</v>
      </c>
      <c r="G12" s="56">
        <v>300</v>
      </c>
      <c r="H12" s="49">
        <f>JULY!N12</f>
        <v>-150</v>
      </c>
      <c r="I12" s="57">
        <f t="shared" si="0"/>
        <v>22600</v>
      </c>
      <c r="J12" s="58">
        <f>22450</f>
        <v>22450</v>
      </c>
      <c r="K12" s="59" t="s">
        <v>500</v>
      </c>
      <c r="L12" s="86" t="s">
        <v>486</v>
      </c>
      <c r="M12" s="60" t="s">
        <v>468</v>
      </c>
      <c r="N12" s="57">
        <f t="shared" si="1"/>
        <v>150</v>
      </c>
      <c r="O12" s="63"/>
      <c r="P12" s="63" t="s">
        <v>173</v>
      </c>
    </row>
    <row r="13" spans="1:16" ht="18.75">
      <c r="A13" s="54" t="s">
        <v>40</v>
      </c>
      <c r="B13" s="37" t="s">
        <v>84</v>
      </c>
      <c r="C13" s="55" t="s">
        <v>85</v>
      </c>
      <c r="D13" s="56"/>
      <c r="E13" s="56">
        <v>20000</v>
      </c>
      <c r="F13" s="56">
        <v>450</v>
      </c>
      <c r="G13" s="56">
        <v>300</v>
      </c>
      <c r="H13" s="49">
        <f>JULY!N13</f>
        <v>-1800</v>
      </c>
      <c r="I13" s="57">
        <f t="shared" si="0"/>
        <v>18950</v>
      </c>
      <c r="J13" s="58">
        <f>20750</f>
        <v>20750</v>
      </c>
      <c r="K13" s="59" t="s">
        <v>478</v>
      </c>
      <c r="L13" s="86" t="s">
        <v>467</v>
      </c>
      <c r="M13" s="60" t="s">
        <v>468</v>
      </c>
      <c r="N13" s="57">
        <f t="shared" si="1"/>
        <v>-1800</v>
      </c>
      <c r="O13" s="63"/>
      <c r="P13" s="63" t="s">
        <v>173</v>
      </c>
    </row>
    <row r="14" spans="1:16" ht="18.75">
      <c r="A14" s="54" t="s">
        <v>41</v>
      </c>
      <c r="B14" s="37" t="s">
        <v>355</v>
      </c>
      <c r="C14" s="55" t="s">
        <v>356</v>
      </c>
      <c r="D14" s="56"/>
      <c r="E14" s="56">
        <v>20000</v>
      </c>
      <c r="F14" s="56">
        <v>750</v>
      </c>
      <c r="G14" s="56"/>
      <c r="H14" s="49">
        <f>JULY!N14</f>
        <v>-23500</v>
      </c>
      <c r="I14" s="57">
        <f t="shared" si="0"/>
        <v>-2750</v>
      </c>
      <c r="J14" s="58"/>
      <c r="K14" s="59"/>
      <c r="L14" s="86"/>
      <c r="M14" s="60" t="s">
        <v>468</v>
      </c>
      <c r="N14" s="57">
        <f t="shared" si="1"/>
        <v>-2750</v>
      </c>
      <c r="O14" s="63"/>
      <c r="P14" s="63" t="s">
        <v>173</v>
      </c>
    </row>
    <row r="15" spans="1:16" ht="18.75">
      <c r="A15" s="54" t="s">
        <v>42</v>
      </c>
      <c r="B15" s="37" t="s">
        <v>454</v>
      </c>
      <c r="C15" s="55" t="s">
        <v>455</v>
      </c>
      <c r="D15" s="56">
        <v>21000</v>
      </c>
      <c r="E15" s="56">
        <v>21000</v>
      </c>
      <c r="F15" s="56">
        <v>450</v>
      </c>
      <c r="G15" s="56">
        <v>300</v>
      </c>
      <c r="H15" s="49">
        <v>0</v>
      </c>
      <c r="I15" s="57">
        <f t="shared" si="0"/>
        <v>42750</v>
      </c>
      <c r="J15" s="58">
        <f>21000+21000</f>
        <v>42000</v>
      </c>
      <c r="K15" s="59" t="s">
        <v>491</v>
      </c>
      <c r="L15" s="59" t="s">
        <v>492</v>
      </c>
      <c r="M15" s="60" t="s">
        <v>468</v>
      </c>
      <c r="N15" s="57">
        <f t="shared" si="1"/>
        <v>750</v>
      </c>
      <c r="O15" s="63"/>
      <c r="P15" s="63" t="s">
        <v>173</v>
      </c>
    </row>
    <row r="16" spans="1:16" ht="18.75">
      <c r="A16" s="54" t="s">
        <v>152</v>
      </c>
      <c r="B16" s="37" t="s">
        <v>160</v>
      </c>
      <c r="C16" s="55" t="s">
        <v>161</v>
      </c>
      <c r="D16" s="56"/>
      <c r="E16" s="56">
        <v>21000</v>
      </c>
      <c r="F16" s="56">
        <v>300</v>
      </c>
      <c r="G16" s="56">
        <v>300</v>
      </c>
      <c r="H16" s="49">
        <f>JULY!N16</f>
        <v>300</v>
      </c>
      <c r="I16" s="57">
        <f t="shared" si="0"/>
        <v>21900</v>
      </c>
      <c r="J16" s="58">
        <f>21750</f>
        <v>21750</v>
      </c>
      <c r="K16" s="59" t="s">
        <v>476</v>
      </c>
      <c r="L16" s="86" t="s">
        <v>472</v>
      </c>
      <c r="M16" s="60" t="s">
        <v>468</v>
      </c>
      <c r="N16" s="57">
        <f t="shared" si="1"/>
        <v>150</v>
      </c>
      <c r="O16" s="63"/>
      <c r="P16" s="63" t="s">
        <v>173</v>
      </c>
    </row>
    <row r="17" spans="1:16" ht="18.75">
      <c r="A17" s="54" t="s">
        <v>43</v>
      </c>
      <c r="B17" s="37" t="s">
        <v>141</v>
      </c>
      <c r="C17" s="55" t="s">
        <v>86</v>
      </c>
      <c r="D17" s="56"/>
      <c r="E17" s="56">
        <v>12000</v>
      </c>
      <c r="F17" s="56">
        <v>1050</v>
      </c>
      <c r="G17" s="56">
        <v>300</v>
      </c>
      <c r="H17" s="49">
        <f>JULY!N17</f>
        <v>-7200</v>
      </c>
      <c r="I17" s="57">
        <f t="shared" si="0"/>
        <v>6150</v>
      </c>
      <c r="J17" s="58"/>
      <c r="K17" s="59"/>
      <c r="L17" s="59"/>
      <c r="M17" s="60" t="s">
        <v>468</v>
      </c>
      <c r="N17" s="57">
        <f t="shared" si="1"/>
        <v>6150</v>
      </c>
      <c r="O17" s="63"/>
      <c r="P17" s="63" t="s">
        <v>173</v>
      </c>
    </row>
    <row r="18" spans="1:16" ht="18.75">
      <c r="A18" s="54" t="s">
        <v>44</v>
      </c>
      <c r="B18" s="37" t="s">
        <v>169</v>
      </c>
      <c r="C18" s="55" t="s">
        <v>170</v>
      </c>
      <c r="D18" s="56"/>
      <c r="E18" s="56">
        <v>20000</v>
      </c>
      <c r="F18" s="56">
        <v>450</v>
      </c>
      <c r="G18" s="56">
        <v>300</v>
      </c>
      <c r="H18" s="49">
        <f>JULY!N18</f>
        <v>-750</v>
      </c>
      <c r="I18" s="57">
        <f t="shared" si="0"/>
        <v>20000</v>
      </c>
      <c r="J18" s="58">
        <f>21000</f>
        <v>21000</v>
      </c>
      <c r="K18" s="59" t="s">
        <v>503</v>
      </c>
      <c r="L18" s="86" t="s">
        <v>504</v>
      </c>
      <c r="M18" s="60" t="s">
        <v>468</v>
      </c>
      <c r="N18" s="57">
        <f t="shared" si="1"/>
        <v>-1000</v>
      </c>
      <c r="O18" s="63"/>
      <c r="P18" s="63" t="s">
        <v>173</v>
      </c>
    </row>
    <row r="19" spans="1:16" ht="18.75">
      <c r="A19" s="54" t="s">
        <v>45</v>
      </c>
      <c r="B19" s="37" t="s">
        <v>87</v>
      </c>
      <c r="C19" s="55" t="s">
        <v>88</v>
      </c>
      <c r="D19" s="56"/>
      <c r="E19" s="56">
        <v>20000</v>
      </c>
      <c r="F19" s="56">
        <v>600</v>
      </c>
      <c r="G19" s="56">
        <v>300</v>
      </c>
      <c r="H19" s="49">
        <f>JULY!N19</f>
        <v>11100</v>
      </c>
      <c r="I19" s="57">
        <f t="shared" si="0"/>
        <v>32000</v>
      </c>
      <c r="J19" s="58">
        <f>20600</f>
        <v>20600</v>
      </c>
      <c r="K19" s="59" t="s">
        <v>509</v>
      </c>
      <c r="L19" s="86"/>
      <c r="M19" s="60" t="s">
        <v>468</v>
      </c>
      <c r="N19" s="57">
        <f t="shared" si="1"/>
        <v>11400</v>
      </c>
      <c r="O19" s="63"/>
      <c r="P19" s="63" t="s">
        <v>173</v>
      </c>
    </row>
    <row r="20" spans="1:16" ht="18.75">
      <c r="A20" s="54" t="s">
        <v>46</v>
      </c>
      <c r="B20" s="37" t="s">
        <v>195</v>
      </c>
      <c r="C20" s="55" t="s">
        <v>89</v>
      </c>
      <c r="D20" s="56"/>
      <c r="E20" s="56">
        <v>20000</v>
      </c>
      <c r="F20" s="56">
        <v>600</v>
      </c>
      <c r="G20" s="56">
        <v>300</v>
      </c>
      <c r="H20" s="49">
        <f>JULY!N20</f>
        <v>-10290</v>
      </c>
      <c r="I20" s="57">
        <f t="shared" si="0"/>
        <v>10610</v>
      </c>
      <c r="J20" s="58">
        <f>22450</f>
        <v>22450</v>
      </c>
      <c r="K20" s="59" t="s">
        <v>474</v>
      </c>
      <c r="L20" s="86" t="s">
        <v>472</v>
      </c>
      <c r="M20" s="60" t="s">
        <v>468</v>
      </c>
      <c r="N20" s="57">
        <f t="shared" si="1"/>
        <v>-11840</v>
      </c>
      <c r="O20" s="63"/>
      <c r="P20" s="63" t="s">
        <v>173</v>
      </c>
    </row>
    <row r="21" spans="1:16" ht="18.75">
      <c r="A21" s="54" t="s">
        <v>47</v>
      </c>
      <c r="B21" s="37" t="s">
        <v>190</v>
      </c>
      <c r="C21" s="55" t="s">
        <v>90</v>
      </c>
      <c r="D21" s="56"/>
      <c r="E21" s="56">
        <v>20000</v>
      </c>
      <c r="F21" s="56">
        <v>450</v>
      </c>
      <c r="G21" s="56">
        <v>300</v>
      </c>
      <c r="H21" s="49">
        <f>JULY!N21</f>
        <v>15140</v>
      </c>
      <c r="I21" s="57">
        <f t="shared" si="0"/>
        <v>35890</v>
      </c>
      <c r="J21" s="58">
        <f>20500</f>
        <v>20500</v>
      </c>
      <c r="K21" s="59" t="s">
        <v>499</v>
      </c>
      <c r="L21" s="86" t="s">
        <v>479</v>
      </c>
      <c r="M21" s="60" t="s">
        <v>468</v>
      </c>
      <c r="N21" s="57">
        <f t="shared" si="1"/>
        <v>15390</v>
      </c>
      <c r="O21" s="63"/>
      <c r="P21" s="63" t="s">
        <v>173</v>
      </c>
    </row>
    <row r="22" spans="1:16" ht="18.75">
      <c r="A22" s="54" t="s">
        <v>48</v>
      </c>
      <c r="B22" s="37" t="s">
        <v>91</v>
      </c>
      <c r="C22" s="55" t="s">
        <v>92</v>
      </c>
      <c r="D22" s="56"/>
      <c r="E22" s="56">
        <v>21000</v>
      </c>
      <c r="F22" s="56">
        <v>750</v>
      </c>
      <c r="G22" s="56">
        <v>300</v>
      </c>
      <c r="H22" s="49">
        <f>JULY!N22</f>
        <v>21750</v>
      </c>
      <c r="I22" s="57">
        <f t="shared" si="0"/>
        <v>43800</v>
      </c>
      <c r="J22" s="58">
        <f>21000</f>
        <v>21000</v>
      </c>
      <c r="K22" s="59" t="s">
        <v>511</v>
      </c>
      <c r="L22" s="86" t="s">
        <v>513</v>
      </c>
      <c r="M22" s="60" t="s">
        <v>468</v>
      </c>
      <c r="N22" s="57">
        <f t="shared" si="1"/>
        <v>22800</v>
      </c>
      <c r="O22" s="63" t="s">
        <v>199</v>
      </c>
      <c r="P22" s="63" t="s">
        <v>173</v>
      </c>
    </row>
    <row r="23" spans="1:16" ht="18.75">
      <c r="A23" s="54" t="s">
        <v>469</v>
      </c>
      <c r="B23" s="37" t="s">
        <v>470</v>
      </c>
      <c r="C23" s="55" t="s">
        <v>471</v>
      </c>
      <c r="D23" s="56">
        <v>20000</v>
      </c>
      <c r="E23" s="56">
        <v>20000</v>
      </c>
      <c r="F23" s="56">
        <v>750</v>
      </c>
      <c r="G23" s="56">
        <v>300</v>
      </c>
      <c r="H23" s="49">
        <v>0</v>
      </c>
      <c r="I23" s="57">
        <f t="shared" si="0"/>
        <v>41050</v>
      </c>
      <c r="J23" s="58">
        <f>30000+5000+25600</f>
        <v>60600</v>
      </c>
      <c r="K23" s="59" t="s">
        <v>516</v>
      </c>
      <c r="L23" s="86" t="s">
        <v>517</v>
      </c>
      <c r="M23" s="60" t="s">
        <v>468</v>
      </c>
      <c r="N23" s="57">
        <f t="shared" si="1"/>
        <v>-19550</v>
      </c>
      <c r="O23" s="63"/>
      <c r="P23" s="63" t="s">
        <v>173</v>
      </c>
    </row>
    <row r="24" spans="1:16" ht="18.75">
      <c r="A24" s="54" t="s">
        <v>50</v>
      </c>
      <c r="B24" s="37" t="s">
        <v>187</v>
      </c>
      <c r="C24" s="55" t="s">
        <v>95</v>
      </c>
      <c r="D24" s="56"/>
      <c r="E24" s="56">
        <v>21000</v>
      </c>
      <c r="F24" s="56">
        <v>600</v>
      </c>
      <c r="G24" s="56">
        <v>300</v>
      </c>
      <c r="H24" s="49">
        <f>JULY!N24</f>
        <v>-6750</v>
      </c>
      <c r="I24" s="57">
        <f t="shared" si="0"/>
        <v>15150</v>
      </c>
      <c r="J24" s="58"/>
      <c r="K24" s="59"/>
      <c r="L24" s="86"/>
      <c r="M24" s="60" t="s">
        <v>468</v>
      </c>
      <c r="N24" s="57">
        <f t="shared" si="1"/>
        <v>15150</v>
      </c>
      <c r="O24" s="63" t="s">
        <v>199</v>
      </c>
      <c r="P24" s="63" t="s">
        <v>173</v>
      </c>
    </row>
    <row r="25" spans="1:16" ht="18.75">
      <c r="A25" s="54" t="s">
        <v>51</v>
      </c>
      <c r="B25" s="37" t="s">
        <v>96</v>
      </c>
      <c r="C25" s="55"/>
      <c r="D25" s="56"/>
      <c r="E25" s="56"/>
      <c r="F25" s="56">
        <v>750</v>
      </c>
      <c r="G25" s="56"/>
      <c r="H25" s="49">
        <f>JULY!N25</f>
        <v>600</v>
      </c>
      <c r="I25" s="57">
        <f t="shared" si="0"/>
        <v>1350</v>
      </c>
      <c r="J25" s="58"/>
      <c r="K25" s="59"/>
      <c r="L25" s="59"/>
      <c r="M25" s="60" t="s">
        <v>468</v>
      </c>
      <c r="N25" s="57">
        <f t="shared" si="1"/>
        <v>1350</v>
      </c>
      <c r="O25" s="63"/>
      <c r="P25" s="63" t="s">
        <v>173</v>
      </c>
    </row>
    <row r="26" spans="1:16" ht="18.75">
      <c r="A26" s="54" t="s">
        <v>52</v>
      </c>
      <c r="B26" s="37" t="s">
        <v>203</v>
      </c>
      <c r="C26" s="55" t="s">
        <v>204</v>
      </c>
      <c r="D26" s="56"/>
      <c r="E26" s="56">
        <v>22000</v>
      </c>
      <c r="F26" s="56">
        <v>300</v>
      </c>
      <c r="G26" s="56">
        <v>300</v>
      </c>
      <c r="H26" s="49">
        <f>JULY!N26</f>
        <v>150</v>
      </c>
      <c r="I26" s="57">
        <f t="shared" si="0"/>
        <v>22750</v>
      </c>
      <c r="J26" s="58">
        <f>22000</f>
        <v>22000</v>
      </c>
      <c r="K26" s="59" t="s">
        <v>507</v>
      </c>
      <c r="L26" s="86" t="s">
        <v>508</v>
      </c>
      <c r="M26" s="60" t="s">
        <v>468</v>
      </c>
      <c r="N26" s="57">
        <f t="shared" si="1"/>
        <v>750</v>
      </c>
      <c r="O26" s="63"/>
      <c r="P26" s="63" t="s">
        <v>173</v>
      </c>
    </row>
    <row r="27" spans="1:16" ht="18.75">
      <c r="A27" s="54" t="s">
        <v>53</v>
      </c>
      <c r="B27" s="37" t="s">
        <v>99</v>
      </c>
      <c r="C27" s="55" t="s">
        <v>100</v>
      </c>
      <c r="D27" s="56"/>
      <c r="E27" s="56">
        <v>21000</v>
      </c>
      <c r="F27" s="56">
        <v>300</v>
      </c>
      <c r="G27" s="56">
        <v>300</v>
      </c>
      <c r="H27" s="49">
        <f>JULY!N27</f>
        <v>-1500</v>
      </c>
      <c r="I27" s="57">
        <f t="shared" si="0"/>
        <v>20100</v>
      </c>
      <c r="J27" s="58">
        <f>22650</f>
        <v>22650</v>
      </c>
      <c r="K27" s="59" t="s">
        <v>481</v>
      </c>
      <c r="L27" s="90" t="s">
        <v>467</v>
      </c>
      <c r="M27" s="60" t="s">
        <v>468</v>
      </c>
      <c r="N27" s="57">
        <f t="shared" si="1"/>
        <v>-2550</v>
      </c>
      <c r="O27" s="63"/>
      <c r="P27" s="63" t="s">
        <v>173</v>
      </c>
    </row>
    <row r="28" spans="1:16" ht="18.75">
      <c r="A28" s="54" t="s">
        <v>54</v>
      </c>
      <c r="B28" s="37" t="s">
        <v>145</v>
      </c>
      <c r="C28" s="55" t="s">
        <v>101</v>
      </c>
      <c r="D28" s="56"/>
      <c r="E28" s="56">
        <v>22000</v>
      </c>
      <c r="F28" s="56">
        <v>1650</v>
      </c>
      <c r="G28" s="56">
        <v>300</v>
      </c>
      <c r="H28" s="49">
        <f>JULY!N28</f>
        <v>0</v>
      </c>
      <c r="I28" s="57">
        <f t="shared" si="0"/>
        <v>23950</v>
      </c>
      <c r="J28" s="58">
        <f>22750</f>
        <v>22750</v>
      </c>
      <c r="K28" s="59" t="s">
        <v>477</v>
      </c>
      <c r="L28" s="86" t="s">
        <v>472</v>
      </c>
      <c r="M28" s="60" t="s">
        <v>468</v>
      </c>
      <c r="N28" s="57">
        <f t="shared" si="1"/>
        <v>1200</v>
      </c>
      <c r="O28" s="63"/>
      <c r="P28" s="63" t="s">
        <v>173</v>
      </c>
    </row>
    <row r="29" spans="1:16" ht="18.75">
      <c r="A29" s="54" t="s">
        <v>55</v>
      </c>
      <c r="B29" s="37" t="s">
        <v>397</v>
      </c>
      <c r="C29" s="55" t="s">
        <v>398</v>
      </c>
      <c r="D29" s="56"/>
      <c r="E29" s="56">
        <v>21000</v>
      </c>
      <c r="F29" s="56">
        <v>750</v>
      </c>
      <c r="G29" s="56">
        <v>300</v>
      </c>
      <c r="H29" s="49">
        <f>JULY!N29</f>
        <v>1900</v>
      </c>
      <c r="I29" s="57">
        <f t="shared" si="0"/>
        <v>23950</v>
      </c>
      <c r="J29" s="58">
        <f>20000</f>
        <v>20000</v>
      </c>
      <c r="K29" s="59" t="s">
        <v>501</v>
      </c>
      <c r="L29" s="86" t="s">
        <v>467</v>
      </c>
      <c r="M29" s="60" t="s">
        <v>468</v>
      </c>
      <c r="N29" s="57">
        <f t="shared" si="1"/>
        <v>3950</v>
      </c>
      <c r="O29" s="63"/>
      <c r="P29" s="63" t="s">
        <v>173</v>
      </c>
    </row>
    <row r="30" spans="1:16" ht="18.75">
      <c r="A30" s="54" t="s">
        <v>56</v>
      </c>
      <c r="B30" s="37" t="s">
        <v>104</v>
      </c>
      <c r="C30" s="55" t="s">
        <v>105</v>
      </c>
      <c r="D30" s="56"/>
      <c r="E30" s="56">
        <v>20000</v>
      </c>
      <c r="F30" s="56">
        <v>750</v>
      </c>
      <c r="G30" s="56">
        <v>300</v>
      </c>
      <c r="H30" s="49">
        <f>JULY!N30</f>
        <v>-1350</v>
      </c>
      <c r="I30" s="57">
        <f t="shared" si="0"/>
        <v>19700</v>
      </c>
      <c r="J30" s="58">
        <f>21200</f>
        <v>21200</v>
      </c>
      <c r="K30" s="59" t="s">
        <v>489</v>
      </c>
      <c r="L30" s="86" t="s">
        <v>486</v>
      </c>
      <c r="M30" s="60" t="s">
        <v>468</v>
      </c>
      <c r="N30" s="57">
        <f t="shared" si="1"/>
        <v>-1500</v>
      </c>
      <c r="O30" s="63"/>
      <c r="P30" s="63" t="s">
        <v>173</v>
      </c>
    </row>
    <row r="31" spans="1:16" ht="18.75">
      <c r="A31" s="54" t="s">
        <v>57</v>
      </c>
      <c r="B31" s="37" t="s">
        <v>424</v>
      </c>
      <c r="C31" s="55" t="s">
        <v>106</v>
      </c>
      <c r="D31" s="56"/>
      <c r="E31" s="56">
        <v>21000</v>
      </c>
      <c r="F31" s="56">
        <v>1200</v>
      </c>
      <c r="G31" s="56">
        <v>300</v>
      </c>
      <c r="H31" s="49">
        <f>JULY!N31</f>
        <v>-20700</v>
      </c>
      <c r="I31" s="57">
        <f t="shared" si="0"/>
        <v>1800</v>
      </c>
      <c r="J31" s="58">
        <f>21000</f>
        <v>21000</v>
      </c>
      <c r="K31" s="59" t="s">
        <v>505</v>
      </c>
      <c r="L31" s="86" t="s">
        <v>506</v>
      </c>
      <c r="M31" s="60" t="s">
        <v>468</v>
      </c>
      <c r="N31" s="57">
        <f t="shared" si="1"/>
        <v>-19200</v>
      </c>
      <c r="O31" s="63"/>
      <c r="P31" s="63" t="s">
        <v>173</v>
      </c>
    </row>
    <row r="32" spans="1:16" ht="18.75">
      <c r="A32" s="54" t="s">
        <v>58</v>
      </c>
      <c r="B32" s="37" t="s">
        <v>350</v>
      </c>
      <c r="C32" s="55" t="s">
        <v>351</v>
      </c>
      <c r="D32" s="56"/>
      <c r="E32" s="56">
        <v>22000</v>
      </c>
      <c r="F32" s="56">
        <v>450</v>
      </c>
      <c r="G32" s="56"/>
      <c r="H32" s="49">
        <f>JULY!N32</f>
        <v>150</v>
      </c>
      <c r="I32" s="57">
        <f t="shared" si="0"/>
        <v>22600</v>
      </c>
      <c r="J32" s="58">
        <f>22450</f>
        <v>22450</v>
      </c>
      <c r="K32" s="59" t="s">
        <v>494</v>
      </c>
      <c r="L32" s="86" t="s">
        <v>495</v>
      </c>
      <c r="M32" s="60" t="s">
        <v>468</v>
      </c>
      <c r="N32" s="57">
        <f t="shared" si="1"/>
        <v>150</v>
      </c>
      <c r="O32" s="63"/>
      <c r="P32" s="63" t="s">
        <v>173</v>
      </c>
    </row>
    <row r="33" spans="1:16" ht="18.75">
      <c r="A33" s="54" t="s">
        <v>59</v>
      </c>
      <c r="B33" s="37" t="s">
        <v>109</v>
      </c>
      <c r="C33" s="55" t="s">
        <v>110</v>
      </c>
      <c r="D33" s="56"/>
      <c r="E33" s="56">
        <v>12000</v>
      </c>
      <c r="F33" s="56">
        <v>450</v>
      </c>
      <c r="G33" s="56">
        <v>300</v>
      </c>
      <c r="H33" s="49">
        <f>JULY!N33</f>
        <v>30200</v>
      </c>
      <c r="I33" s="57">
        <f t="shared" si="0"/>
        <v>42950</v>
      </c>
      <c r="J33" s="58"/>
      <c r="K33" s="59"/>
      <c r="L33" s="86"/>
      <c r="M33" s="60" t="s">
        <v>468</v>
      </c>
      <c r="N33" s="57">
        <f t="shared" si="1"/>
        <v>42950</v>
      </c>
      <c r="O33" s="63" t="s">
        <v>199</v>
      </c>
      <c r="P33" s="63" t="s">
        <v>173</v>
      </c>
    </row>
    <row r="34" spans="1:16" ht="18.75">
      <c r="A34" s="54" t="s">
        <v>60</v>
      </c>
      <c r="B34" s="37" t="s">
        <v>111</v>
      </c>
      <c r="C34" s="55" t="s">
        <v>112</v>
      </c>
      <c r="D34" s="56"/>
      <c r="E34" s="56">
        <v>20000</v>
      </c>
      <c r="F34" s="56">
        <v>600</v>
      </c>
      <c r="G34" s="56">
        <v>300</v>
      </c>
      <c r="H34" s="49">
        <f>JULY!N34</f>
        <v>-20050</v>
      </c>
      <c r="I34" s="57">
        <f t="shared" si="0"/>
        <v>850</v>
      </c>
      <c r="J34" s="58">
        <f>21000</f>
        <v>21000</v>
      </c>
      <c r="K34" s="59" t="s">
        <v>520</v>
      </c>
      <c r="L34" s="86">
        <v>46262</v>
      </c>
      <c r="M34" s="60" t="s">
        <v>468</v>
      </c>
      <c r="N34" s="57">
        <f t="shared" si="1"/>
        <v>-20150</v>
      </c>
      <c r="O34" s="63"/>
      <c r="P34" s="63" t="s">
        <v>173</v>
      </c>
    </row>
    <row r="35" spans="1:16" ht="18.75">
      <c r="A35" s="54" t="s">
        <v>61</v>
      </c>
      <c r="B35" s="37" t="s">
        <v>113</v>
      </c>
      <c r="C35" s="55" t="s">
        <v>114</v>
      </c>
      <c r="D35" s="56"/>
      <c r="E35" s="56">
        <v>20000</v>
      </c>
      <c r="F35" s="56">
        <v>750</v>
      </c>
      <c r="G35" s="56">
        <v>300</v>
      </c>
      <c r="H35" s="49">
        <f>JULY!N35</f>
        <v>2250</v>
      </c>
      <c r="I35" s="57">
        <f t="shared" si="0"/>
        <v>23300</v>
      </c>
      <c r="J35" s="58">
        <f>20300</f>
        <v>20300</v>
      </c>
      <c r="K35" s="59" t="s">
        <v>498</v>
      </c>
      <c r="L35" s="86" t="s">
        <v>495</v>
      </c>
      <c r="M35" s="60" t="s">
        <v>468</v>
      </c>
      <c r="N35" s="57">
        <f t="shared" si="1"/>
        <v>3000</v>
      </c>
      <c r="O35" s="63"/>
      <c r="P35" s="63" t="s">
        <v>173</v>
      </c>
    </row>
    <row r="36" spans="1:16" ht="18.75">
      <c r="A36" s="54" t="s">
        <v>62</v>
      </c>
      <c r="B36" s="37" t="s">
        <v>115</v>
      </c>
      <c r="C36" s="55" t="s">
        <v>116</v>
      </c>
      <c r="D36" s="56"/>
      <c r="E36" s="56">
        <v>22000</v>
      </c>
      <c r="F36" s="56">
        <v>300</v>
      </c>
      <c r="G36" s="56">
        <v>300</v>
      </c>
      <c r="H36" s="49">
        <f>JULY!N36</f>
        <v>-600</v>
      </c>
      <c r="I36" s="57">
        <f t="shared" si="0"/>
        <v>22000</v>
      </c>
      <c r="J36" s="58">
        <v>23350</v>
      </c>
      <c r="K36" s="59" t="s">
        <v>484</v>
      </c>
      <c r="L36" s="86" t="s">
        <v>486</v>
      </c>
      <c r="M36" s="60" t="s">
        <v>468</v>
      </c>
      <c r="N36" s="57">
        <f t="shared" si="1"/>
        <v>-1350</v>
      </c>
      <c r="O36" s="63"/>
      <c r="P36" s="63" t="s">
        <v>173</v>
      </c>
    </row>
    <row r="37" spans="1:16" ht="18.75">
      <c r="A37" s="54" t="s">
        <v>63</v>
      </c>
      <c r="B37" s="37" t="s">
        <v>117</v>
      </c>
      <c r="C37" s="55" t="s">
        <v>118</v>
      </c>
      <c r="D37" s="56"/>
      <c r="E37" s="56">
        <v>21000</v>
      </c>
      <c r="F37" s="56">
        <v>1350</v>
      </c>
      <c r="G37" s="56">
        <v>300</v>
      </c>
      <c r="H37" s="49">
        <f>JULY!N37</f>
        <v>2150</v>
      </c>
      <c r="I37" s="57">
        <f t="shared" si="0"/>
        <v>24800</v>
      </c>
      <c r="J37" s="58">
        <f>20000</f>
        <v>20000</v>
      </c>
      <c r="K37" s="59" t="s">
        <v>512</v>
      </c>
      <c r="L37" s="59" t="s">
        <v>513</v>
      </c>
      <c r="M37" s="60" t="s">
        <v>468</v>
      </c>
      <c r="N37" s="57">
        <f t="shared" si="1"/>
        <v>4800</v>
      </c>
      <c r="O37" s="63"/>
      <c r="P37" s="63" t="s">
        <v>173</v>
      </c>
    </row>
    <row r="38" spans="1:16" ht="18.75">
      <c r="A38" s="54" t="s">
        <v>64</v>
      </c>
      <c r="B38" s="37" t="s">
        <v>120</v>
      </c>
      <c r="C38" s="55" t="s">
        <v>119</v>
      </c>
      <c r="D38" s="56"/>
      <c r="E38" s="56">
        <v>21000</v>
      </c>
      <c r="F38" s="56">
        <v>900</v>
      </c>
      <c r="G38" s="56">
        <v>300</v>
      </c>
      <c r="H38" s="49">
        <f>JULY!N38</f>
        <v>900</v>
      </c>
      <c r="I38" s="57">
        <f t="shared" si="0"/>
        <v>23100</v>
      </c>
      <c r="J38" s="58">
        <f>21450</f>
        <v>21450</v>
      </c>
      <c r="K38" s="59" t="s">
        <v>496</v>
      </c>
      <c r="L38" s="86" t="s">
        <v>495</v>
      </c>
      <c r="M38" s="60" t="s">
        <v>468</v>
      </c>
      <c r="N38" s="57">
        <f t="shared" si="1"/>
        <v>1650</v>
      </c>
      <c r="O38" s="63"/>
      <c r="P38" s="63" t="s">
        <v>173</v>
      </c>
    </row>
    <row r="39" spans="1:16" ht="18.75">
      <c r="A39" s="54" t="s">
        <v>65</v>
      </c>
      <c r="B39" s="37" t="s">
        <v>382</v>
      </c>
      <c r="C39" s="55" t="s">
        <v>383</v>
      </c>
      <c r="D39" s="56"/>
      <c r="E39" s="56">
        <v>20000</v>
      </c>
      <c r="F39" s="56">
        <v>450</v>
      </c>
      <c r="G39" s="56">
        <v>300</v>
      </c>
      <c r="H39" s="49">
        <f>JULY!N39</f>
        <v>-19550</v>
      </c>
      <c r="I39" s="57">
        <f t="shared" si="0"/>
        <v>1200</v>
      </c>
      <c r="J39" s="58">
        <f>21050</f>
        <v>21050</v>
      </c>
      <c r="K39" s="59" t="s">
        <v>485</v>
      </c>
      <c r="L39" s="86" t="s">
        <v>486</v>
      </c>
      <c r="M39" s="60" t="s">
        <v>468</v>
      </c>
      <c r="N39" s="57">
        <f t="shared" si="1"/>
        <v>-19850</v>
      </c>
      <c r="O39" s="63"/>
      <c r="P39" s="63" t="s">
        <v>173</v>
      </c>
    </row>
    <row r="40" spans="1:16" ht="18.75">
      <c r="A40" s="54" t="s">
        <v>66</v>
      </c>
      <c r="B40" s="37" t="s">
        <v>124</v>
      </c>
      <c r="C40" s="55" t="s">
        <v>123</v>
      </c>
      <c r="D40" s="56"/>
      <c r="E40" s="56">
        <v>20000</v>
      </c>
      <c r="F40" s="56">
        <v>1800</v>
      </c>
      <c r="G40" s="56">
        <v>300</v>
      </c>
      <c r="H40" s="49">
        <f>JULY!N40</f>
        <v>-150</v>
      </c>
      <c r="I40" s="57">
        <f t="shared" si="0"/>
        <v>21950</v>
      </c>
      <c r="J40" s="58">
        <f>20900</f>
        <v>20900</v>
      </c>
      <c r="K40" s="59" t="s">
        <v>490</v>
      </c>
      <c r="L40" s="86" t="s">
        <v>486</v>
      </c>
      <c r="M40" s="60" t="s">
        <v>468</v>
      </c>
      <c r="N40" s="57">
        <f t="shared" si="1"/>
        <v>1050</v>
      </c>
      <c r="O40" s="63"/>
      <c r="P40" s="63" t="s">
        <v>173</v>
      </c>
    </row>
    <row r="41" spans="1:16" ht="18.75">
      <c r="A41" s="54" t="s">
        <v>67</v>
      </c>
      <c r="B41" s="37" t="s">
        <v>125</v>
      </c>
      <c r="C41" s="55" t="s">
        <v>126</v>
      </c>
      <c r="D41" s="61"/>
      <c r="E41" s="56">
        <v>12000</v>
      </c>
      <c r="F41" s="56">
        <v>900</v>
      </c>
      <c r="G41" s="56">
        <v>300</v>
      </c>
      <c r="H41" s="49">
        <f>JULY!N41</f>
        <v>750</v>
      </c>
      <c r="I41" s="57">
        <f t="shared" si="0"/>
        <v>13950</v>
      </c>
      <c r="J41" s="58">
        <f>13050</f>
        <v>13050</v>
      </c>
      <c r="K41" s="59" t="s">
        <v>466</v>
      </c>
      <c r="L41" s="86" t="s">
        <v>467</v>
      </c>
      <c r="M41" s="60" t="s">
        <v>468</v>
      </c>
      <c r="N41" s="57">
        <f t="shared" si="1"/>
        <v>900</v>
      </c>
      <c r="O41" s="63"/>
      <c r="P41" s="63" t="s">
        <v>173</v>
      </c>
    </row>
    <row r="42" spans="1:16" ht="18.75">
      <c r="A42" s="54" t="s">
        <v>68</v>
      </c>
      <c r="B42" s="37" t="s">
        <v>127</v>
      </c>
      <c r="C42" s="55" t="s">
        <v>128</v>
      </c>
      <c r="D42" s="56"/>
      <c r="E42" s="56">
        <v>20000</v>
      </c>
      <c r="F42" s="56">
        <v>600</v>
      </c>
      <c r="G42" s="56">
        <v>300</v>
      </c>
      <c r="H42" s="49">
        <f>JULY!N42</f>
        <v>40950</v>
      </c>
      <c r="I42" s="57">
        <f t="shared" si="0"/>
        <v>61850</v>
      </c>
      <c r="J42" s="58">
        <f>20900</f>
        <v>20900</v>
      </c>
      <c r="K42" s="59" t="s">
        <v>482</v>
      </c>
      <c r="L42" s="86" t="s">
        <v>486</v>
      </c>
      <c r="M42" s="60" t="s">
        <v>468</v>
      </c>
      <c r="N42" s="57">
        <f t="shared" si="1"/>
        <v>40950</v>
      </c>
      <c r="O42" s="63" t="s">
        <v>199</v>
      </c>
      <c r="P42" s="63" t="s">
        <v>173</v>
      </c>
    </row>
    <row r="43" spans="1:16" ht="18.75">
      <c r="A43" s="54" t="s">
        <v>69</v>
      </c>
      <c r="B43" s="37" t="s">
        <v>121</v>
      </c>
      <c r="C43" s="55" t="s">
        <v>122</v>
      </c>
      <c r="D43" s="56"/>
      <c r="E43" s="56">
        <v>20000</v>
      </c>
      <c r="F43" s="56">
        <v>750</v>
      </c>
      <c r="G43" s="56">
        <v>300</v>
      </c>
      <c r="H43" s="49">
        <f>JULY!N43</f>
        <v>-9100</v>
      </c>
      <c r="I43" s="57">
        <f t="shared" si="0"/>
        <v>11950</v>
      </c>
      <c r="J43" s="58">
        <f>21200</f>
        <v>21200</v>
      </c>
      <c r="K43" s="86" t="s">
        <v>493</v>
      </c>
      <c r="L43" s="86" t="s">
        <v>486</v>
      </c>
      <c r="M43" s="60" t="s">
        <v>468</v>
      </c>
      <c r="N43" s="57">
        <f t="shared" si="1"/>
        <v>-9250</v>
      </c>
      <c r="O43" s="63"/>
      <c r="P43" s="63" t="s">
        <v>173</v>
      </c>
    </row>
    <row r="44" spans="1:16" ht="18.75">
      <c r="A44" s="54" t="s">
        <v>70</v>
      </c>
      <c r="B44" s="37" t="s">
        <v>131</v>
      </c>
      <c r="C44" s="55" t="s">
        <v>132</v>
      </c>
      <c r="D44" s="56"/>
      <c r="E44" s="56">
        <v>20000</v>
      </c>
      <c r="F44" s="56">
        <v>1200</v>
      </c>
      <c r="G44" s="56">
        <v>300</v>
      </c>
      <c r="H44" s="49">
        <f>JULY!N44</f>
        <v>1200</v>
      </c>
      <c r="I44" s="57">
        <f t="shared" si="0"/>
        <v>22700</v>
      </c>
      <c r="J44" s="58">
        <f>20700</f>
        <v>20700</v>
      </c>
      <c r="K44" s="86" t="s">
        <v>483</v>
      </c>
      <c r="L44" s="86" t="s">
        <v>486</v>
      </c>
      <c r="M44" s="60" t="s">
        <v>468</v>
      </c>
      <c r="N44" s="57">
        <f t="shared" si="1"/>
        <v>2000</v>
      </c>
      <c r="O44" s="63"/>
      <c r="P44" s="63" t="s">
        <v>173</v>
      </c>
    </row>
    <row r="45" spans="1:16" ht="18.75">
      <c r="A45" s="54" t="s">
        <v>71</v>
      </c>
      <c r="B45" s="37" t="s">
        <v>448</v>
      </c>
      <c r="C45" s="55" t="s">
        <v>449</v>
      </c>
      <c r="D45" s="56"/>
      <c r="E45" s="56">
        <v>21000</v>
      </c>
      <c r="F45" s="56">
        <v>300</v>
      </c>
      <c r="G45" s="56">
        <v>300</v>
      </c>
      <c r="H45" s="49">
        <f>JULY!N45</f>
        <v>0</v>
      </c>
      <c r="I45" s="57">
        <f t="shared" si="0"/>
        <v>21600</v>
      </c>
      <c r="J45" s="58">
        <f>21750</f>
        <v>21750</v>
      </c>
      <c r="K45" s="59" t="s">
        <v>487</v>
      </c>
      <c r="L45" s="59" t="s">
        <v>486</v>
      </c>
      <c r="M45" s="60" t="s">
        <v>468</v>
      </c>
      <c r="N45" s="57">
        <f t="shared" si="1"/>
        <v>-150</v>
      </c>
      <c r="O45" s="63"/>
      <c r="P45" s="63" t="s">
        <v>173</v>
      </c>
    </row>
    <row r="46" spans="1:16" ht="18.75">
      <c r="A46" s="54" t="s">
        <v>72</v>
      </c>
      <c r="B46" s="37" t="s">
        <v>135</v>
      </c>
      <c r="C46" s="55" t="s">
        <v>136</v>
      </c>
      <c r="D46" s="56"/>
      <c r="E46" s="56">
        <v>12000</v>
      </c>
      <c r="F46" s="56">
        <v>750</v>
      </c>
      <c r="G46" s="56">
        <v>300</v>
      </c>
      <c r="H46" s="49">
        <f>JULY!N46</f>
        <v>1350</v>
      </c>
      <c r="I46" s="57">
        <f t="shared" si="0"/>
        <v>14400</v>
      </c>
      <c r="J46" s="58">
        <f>12450</f>
        <v>12450</v>
      </c>
      <c r="K46" s="59" t="s">
        <v>514</v>
      </c>
      <c r="L46" s="86" t="s">
        <v>515</v>
      </c>
      <c r="M46" s="60" t="s">
        <v>468</v>
      </c>
      <c r="N46" s="57">
        <f t="shared" si="1"/>
        <v>1950</v>
      </c>
      <c r="O46" s="63"/>
      <c r="P46" s="63" t="s">
        <v>173</v>
      </c>
    </row>
    <row r="47" spans="1:16" ht="18.75">
      <c r="A47" s="54" t="s">
        <v>73</v>
      </c>
      <c r="B47" s="37" t="s">
        <v>137</v>
      </c>
      <c r="C47" s="55" t="s">
        <v>139</v>
      </c>
      <c r="D47" s="62"/>
      <c r="E47" s="62">
        <v>20000</v>
      </c>
      <c r="F47" s="62">
        <v>450</v>
      </c>
      <c r="G47" s="56">
        <v>300</v>
      </c>
      <c r="H47" s="49">
        <f>JULY!N47</f>
        <v>-1200</v>
      </c>
      <c r="I47" s="57">
        <f t="shared" si="0"/>
        <v>19550</v>
      </c>
      <c r="J47" s="58">
        <f>21200</f>
        <v>21200</v>
      </c>
      <c r="K47" s="59" t="s">
        <v>475</v>
      </c>
      <c r="L47" s="59" t="s">
        <v>488</v>
      </c>
      <c r="M47" s="60" t="s">
        <v>468</v>
      </c>
      <c r="N47" s="57">
        <f t="shared" si="1"/>
        <v>-1650</v>
      </c>
      <c r="O47" s="63"/>
      <c r="P47" s="63" t="s">
        <v>173</v>
      </c>
    </row>
    <row r="48" spans="1:16" ht="18.75">
      <c r="A48" s="54" t="s">
        <v>74</v>
      </c>
      <c r="B48" s="37" t="s">
        <v>143</v>
      </c>
      <c r="C48" s="55" t="s">
        <v>138</v>
      </c>
      <c r="D48" s="56"/>
      <c r="E48" s="56">
        <v>20000</v>
      </c>
      <c r="F48" s="56">
        <v>1200</v>
      </c>
      <c r="G48" s="56">
        <v>300</v>
      </c>
      <c r="H48" s="49">
        <f>JULY!N48</f>
        <v>-19850</v>
      </c>
      <c r="I48" s="57">
        <f t="shared" si="0"/>
        <v>1650</v>
      </c>
      <c r="J48" s="58"/>
      <c r="K48" s="59"/>
      <c r="L48" s="86"/>
      <c r="M48" s="60" t="s">
        <v>468</v>
      </c>
      <c r="N48" s="57">
        <f t="shared" si="1"/>
        <v>1650</v>
      </c>
      <c r="O48" s="63"/>
      <c r="P48" s="63" t="s">
        <v>173</v>
      </c>
    </row>
    <row r="49" spans="1:16" ht="18.75">
      <c r="A49" s="65" t="s">
        <v>20</v>
      </c>
      <c r="B49" s="66"/>
      <c r="C49" s="67"/>
      <c r="D49" s="68">
        <f t="shared" ref="D49:J49" si="2">SUM(D10:D48)</f>
        <v>41000</v>
      </c>
      <c r="E49" s="68">
        <f t="shared" si="2"/>
        <v>740000</v>
      </c>
      <c r="F49" s="68">
        <f t="shared" si="2"/>
        <v>27450</v>
      </c>
      <c r="G49" s="68">
        <f t="shared" si="2"/>
        <v>10800</v>
      </c>
      <c r="H49" s="69">
        <f t="shared" si="2"/>
        <v>-25100</v>
      </c>
      <c r="I49" s="57">
        <f t="shared" si="2"/>
        <v>794150</v>
      </c>
      <c r="J49" s="70">
        <f t="shared" si="2"/>
        <v>747800</v>
      </c>
      <c r="K49" s="59"/>
      <c r="L49" s="59"/>
      <c r="M49" s="104"/>
      <c r="N49" s="68">
        <f>SUM(N10:N48)</f>
        <v>46350</v>
      </c>
      <c r="O49" s="71"/>
      <c r="P49" s="71"/>
    </row>
    <row r="50" spans="1:16" ht="18.75">
      <c r="A50" s="36"/>
      <c r="B50" s="37"/>
      <c r="C50" s="67"/>
      <c r="D50" s="72"/>
      <c r="E50" s="73">
        <v>0</v>
      </c>
      <c r="F50" s="73"/>
      <c r="G50" s="73"/>
      <c r="H50" s="74"/>
      <c r="I50" s="73"/>
      <c r="J50" s="73"/>
      <c r="K50" s="36"/>
      <c r="L50" s="36"/>
      <c r="M50" s="103"/>
      <c r="N50" s="57"/>
      <c r="O50" s="73"/>
      <c r="P50" s="73"/>
    </row>
    <row r="51" spans="1:16" ht="18.75">
      <c r="A51" s="75" t="s">
        <v>21</v>
      </c>
      <c r="B51" s="37"/>
      <c r="C51" s="67"/>
      <c r="D51" s="72"/>
      <c r="E51" s="73"/>
      <c r="F51" s="73"/>
      <c r="G51" s="73"/>
      <c r="H51" s="74"/>
      <c r="I51" s="73"/>
      <c r="J51" s="73"/>
      <c r="K51" s="36"/>
      <c r="L51" s="36"/>
      <c r="M51" s="103"/>
      <c r="N51" s="57"/>
      <c r="O51" s="73"/>
      <c r="P51" s="73"/>
    </row>
    <row r="52" spans="1:16" ht="18.75">
      <c r="A52" s="37" t="s">
        <v>22</v>
      </c>
      <c r="B52" s="37"/>
      <c r="C52" s="67"/>
      <c r="D52" s="37"/>
      <c r="E52" s="37"/>
      <c r="F52" s="37"/>
      <c r="G52" s="37"/>
      <c r="H52" s="49"/>
      <c r="I52" s="37"/>
      <c r="J52" s="76">
        <f>J49*5%</f>
        <v>37390</v>
      </c>
      <c r="K52" s="37"/>
      <c r="L52" s="37"/>
      <c r="M52" s="105"/>
      <c r="N52" s="57"/>
      <c r="O52" s="45"/>
      <c r="P52" s="45"/>
    </row>
    <row r="53" spans="1:16" ht="21">
      <c r="A53" s="45" t="s">
        <v>23</v>
      </c>
      <c r="B53" s="45"/>
      <c r="C53" s="45"/>
      <c r="D53" s="45"/>
      <c r="E53" s="45"/>
      <c r="F53" s="45"/>
      <c r="G53" s="45"/>
      <c r="H53" s="69"/>
      <c r="I53" s="45"/>
      <c r="J53" s="77">
        <f>SUM(J52:J52)</f>
        <v>37390</v>
      </c>
      <c r="K53" s="45"/>
      <c r="L53" s="45"/>
      <c r="M53" s="105"/>
      <c r="N53" s="45"/>
      <c r="O53" s="45"/>
      <c r="P53" s="45"/>
    </row>
    <row r="54" spans="1:16" ht="21">
      <c r="A54" s="45"/>
      <c r="B54" s="45"/>
      <c r="C54" s="45"/>
      <c r="D54" s="45"/>
      <c r="E54" s="45"/>
      <c r="F54" s="45"/>
      <c r="G54" s="45"/>
      <c r="H54" s="69"/>
      <c r="I54" s="45"/>
      <c r="J54" s="77"/>
      <c r="K54" s="45"/>
      <c r="L54" s="45"/>
      <c r="M54" s="105"/>
      <c r="N54" s="45"/>
      <c r="O54" s="45"/>
      <c r="P54" s="45"/>
    </row>
    <row r="55" spans="1:16" ht="18.75">
      <c r="A55" s="37" t="s">
        <v>24</v>
      </c>
      <c r="B55" s="37"/>
      <c r="C55" s="37"/>
      <c r="D55" s="37"/>
      <c r="E55" s="37"/>
      <c r="F55" s="37"/>
      <c r="G55" s="37"/>
      <c r="H55" s="49"/>
      <c r="I55" s="37"/>
      <c r="J55" s="78">
        <f>JULY!N56</f>
        <v>39840</v>
      </c>
      <c r="K55" s="79" t="s">
        <v>25</v>
      </c>
      <c r="L55" s="79"/>
      <c r="M55" s="79" t="s">
        <v>26</v>
      </c>
      <c r="N55" s="79" t="s">
        <v>27</v>
      </c>
      <c r="O55" s="66"/>
      <c r="P55" s="66"/>
    </row>
    <row r="56" spans="1:16" ht="19.5" thickBot="1">
      <c r="A56" s="36" t="s">
        <v>28</v>
      </c>
      <c r="B56" s="36"/>
      <c r="C56" s="36"/>
      <c r="D56" s="36"/>
      <c r="E56" s="36"/>
      <c r="F56" s="36"/>
      <c r="G56" s="36"/>
      <c r="H56" s="74"/>
      <c r="I56" s="45"/>
      <c r="J56" s="81">
        <f>J53+J55</f>
        <v>77230</v>
      </c>
      <c r="K56" s="69"/>
      <c r="L56" s="69"/>
      <c r="M56" s="69"/>
      <c r="N56" s="82">
        <f>J56-K56-M56</f>
        <v>77230</v>
      </c>
      <c r="O56" s="66"/>
      <c r="P56" s="66"/>
    </row>
    <row r="57" spans="1:16" ht="19.5" thickTop="1">
      <c r="A57" s="37" t="s">
        <v>29</v>
      </c>
      <c r="B57" s="37"/>
      <c r="C57" s="37"/>
      <c r="D57" s="37"/>
      <c r="E57" s="37"/>
      <c r="F57" s="37"/>
      <c r="G57" s="37"/>
      <c r="H57" s="49"/>
      <c r="I57" s="37"/>
      <c r="J57" s="37"/>
      <c r="K57" s="37"/>
      <c r="L57" s="37"/>
      <c r="M57" s="37"/>
      <c r="N57" s="84">
        <v>46265</v>
      </c>
      <c r="O57" s="85"/>
      <c r="P57" s="8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>
        <f>J49/I49*100</f>
        <v>94.163571113769436</v>
      </c>
      <c r="K61" s="5"/>
      <c r="L61" s="5"/>
      <c r="M61" s="5"/>
      <c r="N61" s="5"/>
      <c r="O61" s="5"/>
      <c r="P61" s="5"/>
    </row>
  </sheetData>
  <mergeCells count="1">
    <mergeCell ref="A3:N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9B6C-9252-42E6-A37A-85D4A45F3D58}">
  <dimension ref="A1:Q61"/>
  <sheetViews>
    <sheetView topLeftCell="A13" zoomScale="55" zoomScaleNormal="55" workbookViewId="0">
      <selection activeCell="A23" sqref="A23:XFD23"/>
    </sheetView>
  </sheetViews>
  <sheetFormatPr defaultRowHeight="15"/>
  <cols>
    <col min="1" max="1" width="9.140625" customWidth="1"/>
    <col min="2" max="2" width="41.85546875" customWidth="1"/>
    <col min="3" max="3" width="28.28515625" customWidth="1"/>
    <col min="4" max="4" width="26.28515625" customWidth="1"/>
    <col min="5" max="5" width="27.5703125" customWidth="1"/>
    <col min="6" max="6" width="22.7109375" customWidth="1"/>
    <col min="7" max="7" width="19.28515625" customWidth="1"/>
    <col min="8" max="8" width="20.28515625" customWidth="1"/>
    <col min="9" max="9" width="19.5703125" customWidth="1"/>
    <col min="10" max="10" width="21.42578125" customWidth="1"/>
    <col min="11" max="11" width="28.140625" customWidth="1"/>
    <col min="12" max="12" width="16.42578125" customWidth="1"/>
    <col min="13" max="14" width="21.28515625" customWidth="1"/>
    <col min="15" max="15" width="18.7109375" customWidth="1"/>
    <col min="16" max="16" width="15.140625" customWidth="1"/>
  </cols>
  <sheetData>
    <row r="1" spans="1:16" ht="18.75">
      <c r="A1" s="36"/>
      <c r="B1" s="37"/>
      <c r="C1" s="38" t="s">
        <v>0</v>
      </c>
      <c r="D1" s="39"/>
      <c r="E1" s="37"/>
      <c r="F1" s="37"/>
      <c r="G1" s="37"/>
      <c r="H1" s="40"/>
      <c r="I1" s="41"/>
      <c r="J1" s="41"/>
      <c r="K1" s="42"/>
      <c r="L1" s="42"/>
      <c r="M1" s="42"/>
      <c r="N1" s="43"/>
      <c r="O1" s="43"/>
      <c r="P1" s="43"/>
    </row>
    <row r="2" spans="1:16" ht="18.75">
      <c r="A2" s="36" t="s">
        <v>1</v>
      </c>
      <c r="B2" s="36"/>
      <c r="C2" s="36"/>
      <c r="D2" s="36"/>
      <c r="E2" s="41"/>
      <c r="F2" s="41"/>
      <c r="G2" s="41"/>
      <c r="H2" s="40"/>
      <c r="I2" s="41"/>
      <c r="J2" s="41"/>
      <c r="K2" s="42"/>
      <c r="L2" s="42"/>
      <c r="M2" s="42"/>
      <c r="N2" s="43"/>
      <c r="O2" s="43"/>
      <c r="P2" s="43"/>
    </row>
    <row r="3" spans="1:16" ht="18.75">
      <c r="A3" s="120" t="s">
        <v>416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36"/>
      <c r="P3" s="36"/>
    </row>
    <row r="4" spans="1:16" ht="18.75">
      <c r="A4" s="36"/>
      <c r="B4" s="36" t="s">
        <v>33</v>
      </c>
      <c r="C4" s="36"/>
      <c r="D4" s="41"/>
      <c r="E4" s="41"/>
      <c r="F4" s="41"/>
      <c r="G4" s="41"/>
      <c r="H4" s="40"/>
      <c r="I4" s="41"/>
      <c r="J4" s="41"/>
      <c r="K4" s="42" t="s">
        <v>2</v>
      </c>
      <c r="L4" s="42"/>
      <c r="M4" s="42"/>
      <c r="N4" s="44"/>
      <c r="O4" s="44"/>
      <c r="P4" s="44"/>
    </row>
    <row r="5" spans="1:16" ht="18.75">
      <c r="A5" s="45"/>
      <c r="B5" s="45"/>
      <c r="C5" s="45"/>
      <c r="D5" s="44"/>
      <c r="E5" s="44"/>
      <c r="F5" s="44"/>
      <c r="G5" s="44"/>
      <c r="H5" s="46"/>
      <c r="I5" s="44"/>
      <c r="J5" s="44"/>
      <c r="K5" s="47" t="s">
        <v>32</v>
      </c>
      <c r="L5" s="47"/>
      <c r="M5" s="47"/>
      <c r="N5" s="44"/>
      <c r="O5" s="44"/>
      <c r="P5" s="44"/>
    </row>
    <row r="6" spans="1:16" ht="18.75">
      <c r="A6" s="45" t="s">
        <v>3</v>
      </c>
      <c r="B6" s="45"/>
      <c r="C6" s="48"/>
      <c r="D6" s="37"/>
      <c r="E6" s="37"/>
      <c r="F6" s="37"/>
      <c r="G6" s="37"/>
      <c r="H6" s="49"/>
      <c r="I6" s="37"/>
      <c r="J6" s="44" t="s">
        <v>4</v>
      </c>
      <c r="K6" s="47"/>
      <c r="L6" s="47"/>
      <c r="M6" s="47"/>
      <c r="N6" s="44"/>
      <c r="O6" s="44"/>
      <c r="P6" s="44"/>
    </row>
    <row r="7" spans="1:16" ht="18.75">
      <c r="A7" s="45" t="s">
        <v>5</v>
      </c>
      <c r="B7" s="45"/>
      <c r="C7" s="48"/>
      <c r="D7" s="37"/>
      <c r="E7" s="37"/>
      <c r="F7" s="37"/>
      <c r="G7" s="37"/>
      <c r="H7" s="49"/>
      <c r="I7" s="37"/>
      <c r="J7" s="44" t="s">
        <v>6</v>
      </c>
      <c r="K7" s="47"/>
      <c r="L7" s="47"/>
      <c r="M7" s="47"/>
      <c r="N7" s="44"/>
      <c r="O7" s="44"/>
      <c r="P7" s="44"/>
    </row>
    <row r="8" spans="1:16" ht="18.75">
      <c r="A8" s="45" t="s">
        <v>7</v>
      </c>
      <c r="B8" s="45"/>
      <c r="C8" s="45"/>
      <c r="D8" s="50"/>
      <c r="E8" s="44"/>
      <c r="F8" s="44"/>
      <c r="G8" s="44"/>
      <c r="H8" s="46"/>
      <c r="I8" s="44"/>
      <c r="J8" s="44"/>
      <c r="K8" s="47"/>
      <c r="L8" s="47"/>
      <c r="M8" s="47"/>
      <c r="N8" s="44"/>
      <c r="O8" s="44"/>
      <c r="P8" s="44"/>
    </row>
    <row r="9" spans="1:16" ht="18.75">
      <c r="A9" s="36" t="s">
        <v>8</v>
      </c>
      <c r="B9" s="36" t="s">
        <v>9</v>
      </c>
      <c r="C9" s="36" t="s">
        <v>10</v>
      </c>
      <c r="D9" s="51" t="s">
        <v>11</v>
      </c>
      <c r="E9" s="52" t="s">
        <v>12</v>
      </c>
      <c r="F9" s="52" t="s">
        <v>75</v>
      </c>
      <c r="G9" s="52" t="s">
        <v>144</v>
      </c>
      <c r="H9" s="40" t="s">
        <v>13</v>
      </c>
      <c r="I9" s="53" t="s">
        <v>14</v>
      </c>
      <c r="J9" s="41" t="s">
        <v>15</v>
      </c>
      <c r="K9" s="36" t="s">
        <v>16</v>
      </c>
      <c r="L9" s="36" t="s">
        <v>210</v>
      </c>
      <c r="M9" s="36" t="s">
        <v>17</v>
      </c>
      <c r="N9" s="41" t="s">
        <v>18</v>
      </c>
      <c r="O9" s="41" t="s">
        <v>30</v>
      </c>
      <c r="P9" s="41" t="s">
        <v>19</v>
      </c>
    </row>
    <row r="10" spans="1:16" ht="18.75">
      <c r="A10" s="54" t="s">
        <v>37</v>
      </c>
      <c r="B10" s="37" t="s">
        <v>140</v>
      </c>
      <c r="C10" s="55" t="s">
        <v>79</v>
      </c>
      <c r="D10" s="56"/>
      <c r="E10" s="56">
        <v>11000</v>
      </c>
      <c r="F10" s="56">
        <v>300</v>
      </c>
      <c r="G10" s="56">
        <v>300</v>
      </c>
      <c r="H10" s="49">
        <f>AUGUST!N10</f>
        <v>-450</v>
      </c>
      <c r="I10" s="57">
        <f>D10+E10+F10+G10+H10</f>
        <v>11150</v>
      </c>
      <c r="J10" s="58">
        <f>11600</f>
        <v>11600</v>
      </c>
      <c r="K10" s="59" t="s">
        <v>541</v>
      </c>
      <c r="L10" s="86">
        <v>46269</v>
      </c>
      <c r="M10" s="60" t="s">
        <v>519</v>
      </c>
      <c r="N10" s="57">
        <f>I10-J10</f>
        <v>-450</v>
      </c>
      <c r="O10" s="63" t="s">
        <v>510</v>
      </c>
      <c r="P10" s="57" t="s">
        <v>173</v>
      </c>
    </row>
    <row r="11" spans="1:16" ht="18.75">
      <c r="A11" s="54" t="s">
        <v>38</v>
      </c>
      <c r="B11" s="54" t="s">
        <v>456</v>
      </c>
      <c r="C11" s="106" t="s">
        <v>457</v>
      </c>
      <c r="D11" s="56"/>
      <c r="E11" s="56">
        <v>21000</v>
      </c>
      <c r="F11" s="56">
        <v>600</v>
      </c>
      <c r="G11" s="56">
        <v>300</v>
      </c>
      <c r="H11" s="107">
        <f>AUGUST!N11</f>
        <v>-20850</v>
      </c>
      <c r="I11" s="57">
        <f t="shared" ref="I11:I48" si="0">D11+E11+F11+G11+H11</f>
        <v>1050</v>
      </c>
      <c r="J11" s="58">
        <f>150</f>
        <v>150</v>
      </c>
      <c r="K11" s="59" t="s">
        <v>537</v>
      </c>
      <c r="L11" s="86">
        <v>46270</v>
      </c>
      <c r="M11" s="109" t="s">
        <v>519</v>
      </c>
      <c r="N11" s="108">
        <f t="shared" ref="N11:N48" si="1">I11-J11</f>
        <v>900</v>
      </c>
      <c r="O11" s="110"/>
      <c r="P11" s="108" t="s">
        <v>173</v>
      </c>
    </row>
    <row r="12" spans="1:16" ht="18.75">
      <c r="A12" s="54" t="s">
        <v>39</v>
      </c>
      <c r="B12" s="37" t="s">
        <v>82</v>
      </c>
      <c r="C12" s="55" t="s">
        <v>83</v>
      </c>
      <c r="D12" s="56"/>
      <c r="E12" s="56">
        <v>22000</v>
      </c>
      <c r="F12" s="56">
        <v>600</v>
      </c>
      <c r="G12" s="56">
        <v>300</v>
      </c>
      <c r="H12" s="49">
        <f>AUGUST!N12</f>
        <v>150</v>
      </c>
      <c r="I12" s="57">
        <f t="shared" si="0"/>
        <v>23050</v>
      </c>
      <c r="J12" s="58">
        <f>22450</f>
        <v>22450</v>
      </c>
      <c r="K12" s="59" t="s">
        <v>526</v>
      </c>
      <c r="L12" s="86">
        <v>46268</v>
      </c>
      <c r="M12" s="60" t="s">
        <v>519</v>
      </c>
      <c r="N12" s="57">
        <f t="shared" si="1"/>
        <v>600</v>
      </c>
      <c r="O12" s="63"/>
      <c r="P12" s="57" t="s">
        <v>173</v>
      </c>
    </row>
    <row r="13" spans="1:16" ht="18.75">
      <c r="A13" s="54" t="s">
        <v>40</v>
      </c>
      <c r="B13" s="37" t="s">
        <v>547</v>
      </c>
      <c r="C13" s="55" t="s">
        <v>548</v>
      </c>
      <c r="D13" s="56">
        <v>21000</v>
      </c>
      <c r="E13" s="56">
        <v>21000</v>
      </c>
      <c r="F13" s="56">
        <v>0</v>
      </c>
      <c r="G13" s="56">
        <v>300</v>
      </c>
      <c r="H13" s="49">
        <v>0</v>
      </c>
      <c r="I13" s="57">
        <f t="shared" si="0"/>
        <v>42300</v>
      </c>
      <c r="J13" s="58">
        <f>21000</f>
        <v>21000</v>
      </c>
      <c r="K13" s="59" t="s">
        <v>549</v>
      </c>
      <c r="L13" s="89" t="s">
        <v>550</v>
      </c>
      <c r="M13" s="60" t="s">
        <v>519</v>
      </c>
      <c r="N13" s="57">
        <f t="shared" si="1"/>
        <v>21300</v>
      </c>
      <c r="O13" s="63" t="s">
        <v>551</v>
      </c>
      <c r="P13" s="57" t="s">
        <v>173</v>
      </c>
    </row>
    <row r="14" spans="1:16" ht="18.75">
      <c r="A14" s="54" t="s">
        <v>41</v>
      </c>
      <c r="B14" s="37" t="s">
        <v>355</v>
      </c>
      <c r="C14" s="55" t="s">
        <v>356</v>
      </c>
      <c r="D14" s="56"/>
      <c r="E14" s="56">
        <v>20000</v>
      </c>
      <c r="F14" s="56">
        <v>0</v>
      </c>
      <c r="G14" s="56"/>
      <c r="H14" s="49">
        <f>AUGUST!N14</f>
        <v>-2750</v>
      </c>
      <c r="I14" s="57">
        <f t="shared" si="0"/>
        <v>17250</v>
      </c>
      <c r="J14" s="58"/>
      <c r="K14" s="59"/>
      <c r="L14" s="86"/>
      <c r="M14" s="60" t="s">
        <v>519</v>
      </c>
      <c r="N14" s="57">
        <f t="shared" si="1"/>
        <v>17250</v>
      </c>
      <c r="O14" s="63"/>
      <c r="P14" s="57" t="s">
        <v>173</v>
      </c>
    </row>
    <row r="15" spans="1:16" ht="18.75">
      <c r="A15" s="54" t="s">
        <v>42</v>
      </c>
      <c r="B15" s="37" t="s">
        <v>454</v>
      </c>
      <c r="C15" s="55" t="s">
        <v>455</v>
      </c>
      <c r="D15" s="56"/>
      <c r="E15" s="56">
        <v>21000</v>
      </c>
      <c r="F15" s="56">
        <v>1050</v>
      </c>
      <c r="G15" s="56">
        <v>300</v>
      </c>
      <c r="H15" s="49">
        <f>AUGUST!N15</f>
        <v>750</v>
      </c>
      <c r="I15" s="57">
        <f t="shared" si="0"/>
        <v>23100</v>
      </c>
      <c r="J15" s="58"/>
      <c r="K15" s="59"/>
      <c r="L15" s="59"/>
      <c r="M15" s="60" t="s">
        <v>519</v>
      </c>
      <c r="N15" s="57">
        <f t="shared" si="1"/>
        <v>23100</v>
      </c>
      <c r="O15" s="63"/>
      <c r="P15" s="57" t="s">
        <v>173</v>
      </c>
    </row>
    <row r="16" spans="1:16" ht="18.75">
      <c r="A16" s="54" t="s">
        <v>152</v>
      </c>
      <c r="B16" s="37" t="s">
        <v>160</v>
      </c>
      <c r="C16" s="55" t="s">
        <v>161</v>
      </c>
      <c r="D16" s="56"/>
      <c r="E16" s="56">
        <v>21000</v>
      </c>
      <c r="F16" s="56">
        <v>450</v>
      </c>
      <c r="G16" s="56">
        <v>300</v>
      </c>
      <c r="H16" s="49">
        <f>AUGUST!N16</f>
        <v>150</v>
      </c>
      <c r="I16" s="57">
        <f t="shared" si="0"/>
        <v>21900</v>
      </c>
      <c r="J16" s="58">
        <f>21750</f>
        <v>21750</v>
      </c>
      <c r="K16" s="59" t="s">
        <v>529</v>
      </c>
      <c r="L16" s="86">
        <v>46270</v>
      </c>
      <c r="M16" s="60" t="s">
        <v>519</v>
      </c>
      <c r="N16" s="57">
        <f t="shared" si="1"/>
        <v>150</v>
      </c>
      <c r="O16" s="63"/>
      <c r="P16" s="57" t="s">
        <v>173</v>
      </c>
    </row>
    <row r="17" spans="1:16" ht="18.75">
      <c r="A17" s="54" t="s">
        <v>43</v>
      </c>
      <c r="B17" s="37" t="s">
        <v>141</v>
      </c>
      <c r="C17" s="55" t="s">
        <v>86</v>
      </c>
      <c r="D17" s="56"/>
      <c r="E17" s="56">
        <v>12000</v>
      </c>
      <c r="F17" s="56">
        <v>600</v>
      </c>
      <c r="G17" s="56">
        <v>300</v>
      </c>
      <c r="H17" s="49">
        <f>AUGUST!N17</f>
        <v>6150</v>
      </c>
      <c r="I17" s="57">
        <f t="shared" si="0"/>
        <v>19050</v>
      </c>
      <c r="J17" s="58"/>
      <c r="K17" s="59"/>
      <c r="L17" s="59"/>
      <c r="M17" s="60" t="s">
        <v>519</v>
      </c>
      <c r="N17" s="57">
        <f t="shared" si="1"/>
        <v>19050</v>
      </c>
      <c r="O17" s="63" t="s">
        <v>546</v>
      </c>
      <c r="P17" s="57" t="s">
        <v>173</v>
      </c>
    </row>
    <row r="18" spans="1:16" ht="18.75">
      <c r="A18" s="54" t="s">
        <v>44</v>
      </c>
      <c r="B18" s="37" t="s">
        <v>169</v>
      </c>
      <c r="C18" s="55" t="s">
        <v>170</v>
      </c>
      <c r="D18" s="56"/>
      <c r="E18" s="56">
        <v>20000</v>
      </c>
      <c r="F18" s="56">
        <v>750</v>
      </c>
      <c r="G18" s="56">
        <v>300</v>
      </c>
      <c r="H18" s="49">
        <f>AUGUST!N18</f>
        <v>-1000</v>
      </c>
      <c r="I18" s="57">
        <f t="shared" si="0"/>
        <v>20050</v>
      </c>
      <c r="J18" s="58">
        <f>21000</f>
        <v>21000</v>
      </c>
      <c r="K18" s="59" t="s">
        <v>536</v>
      </c>
      <c r="L18" s="86">
        <v>46269</v>
      </c>
      <c r="M18" s="60" t="s">
        <v>519</v>
      </c>
      <c r="N18" s="57">
        <f t="shared" si="1"/>
        <v>-950</v>
      </c>
      <c r="O18" s="63"/>
      <c r="P18" s="57" t="s">
        <v>173</v>
      </c>
    </row>
    <row r="19" spans="1:16" ht="18.75">
      <c r="A19" s="54" t="s">
        <v>45</v>
      </c>
      <c r="B19" s="37" t="s">
        <v>87</v>
      </c>
      <c r="C19" s="55" t="s">
        <v>88</v>
      </c>
      <c r="D19" s="56"/>
      <c r="E19" s="56">
        <v>20000</v>
      </c>
      <c r="F19" s="56">
        <v>300</v>
      </c>
      <c r="G19" s="56">
        <v>300</v>
      </c>
      <c r="H19" s="49">
        <f>AUGUST!N19</f>
        <v>11400</v>
      </c>
      <c r="I19" s="57">
        <f t="shared" si="0"/>
        <v>32000</v>
      </c>
      <c r="J19" s="58"/>
      <c r="K19" s="59"/>
      <c r="L19" s="86"/>
      <c r="M19" s="60" t="s">
        <v>519</v>
      </c>
      <c r="N19" s="57">
        <f t="shared" si="1"/>
        <v>32000</v>
      </c>
      <c r="O19" s="63"/>
      <c r="P19" s="57" t="s">
        <v>173</v>
      </c>
    </row>
    <row r="20" spans="1:16" ht="18.75">
      <c r="A20" s="54" t="s">
        <v>46</v>
      </c>
      <c r="B20" s="37" t="s">
        <v>195</v>
      </c>
      <c r="C20" s="55" t="s">
        <v>89</v>
      </c>
      <c r="D20" s="56"/>
      <c r="E20" s="56">
        <v>20000</v>
      </c>
      <c r="F20" s="56">
        <v>150</v>
      </c>
      <c r="G20" s="56">
        <v>300</v>
      </c>
      <c r="H20" s="49">
        <f>AUGUST!N20</f>
        <v>-11840</v>
      </c>
      <c r="I20" s="57">
        <f t="shared" si="0"/>
        <v>8610</v>
      </c>
      <c r="J20" s="58">
        <f>22450</f>
        <v>22450</v>
      </c>
      <c r="K20" s="59" t="s">
        <v>542</v>
      </c>
      <c r="L20" s="89" t="s">
        <v>543</v>
      </c>
      <c r="M20" s="60" t="s">
        <v>519</v>
      </c>
      <c r="N20" s="57">
        <f t="shared" si="1"/>
        <v>-13840</v>
      </c>
      <c r="O20" s="63"/>
      <c r="P20" s="57" t="s">
        <v>173</v>
      </c>
    </row>
    <row r="21" spans="1:16" ht="18.75">
      <c r="A21" s="54" t="s">
        <v>47</v>
      </c>
      <c r="B21" s="37" t="s">
        <v>190</v>
      </c>
      <c r="C21" s="55" t="s">
        <v>90</v>
      </c>
      <c r="D21" s="56"/>
      <c r="E21" s="56">
        <v>20000</v>
      </c>
      <c r="F21" s="56">
        <v>1200</v>
      </c>
      <c r="G21" s="56">
        <v>300</v>
      </c>
      <c r="H21" s="49">
        <f>AUGUST!N21</f>
        <v>15390</v>
      </c>
      <c r="I21" s="57">
        <f t="shared" si="0"/>
        <v>36890</v>
      </c>
      <c r="J21" s="58">
        <f>20500</f>
        <v>20500</v>
      </c>
      <c r="K21" s="59" t="s">
        <v>527</v>
      </c>
      <c r="L21" s="86">
        <v>46269</v>
      </c>
      <c r="M21" s="60" t="s">
        <v>519</v>
      </c>
      <c r="N21" s="57">
        <f t="shared" si="1"/>
        <v>16390</v>
      </c>
      <c r="O21" s="63"/>
      <c r="P21" s="57" t="s">
        <v>173</v>
      </c>
    </row>
    <row r="22" spans="1:16" ht="18.75">
      <c r="A22" s="54" t="s">
        <v>48</v>
      </c>
      <c r="B22" s="37" t="s">
        <v>91</v>
      </c>
      <c r="C22" s="55" t="s">
        <v>92</v>
      </c>
      <c r="D22" s="56"/>
      <c r="E22" s="56">
        <v>21000</v>
      </c>
      <c r="F22" s="56">
        <v>150</v>
      </c>
      <c r="G22" s="56">
        <v>300</v>
      </c>
      <c r="H22" s="49">
        <f>AUGUST!N22</f>
        <v>22800</v>
      </c>
      <c r="I22" s="57">
        <f t="shared" si="0"/>
        <v>44250</v>
      </c>
      <c r="J22" s="58">
        <f>10000</f>
        <v>10000</v>
      </c>
      <c r="K22" s="59" t="s">
        <v>544</v>
      </c>
      <c r="L22" s="89" t="s">
        <v>545</v>
      </c>
      <c r="M22" s="60" t="s">
        <v>519</v>
      </c>
      <c r="N22" s="57">
        <f t="shared" si="1"/>
        <v>34250</v>
      </c>
      <c r="O22" s="63" t="s">
        <v>443</v>
      </c>
      <c r="P22" s="57" t="s">
        <v>173</v>
      </c>
    </row>
    <row r="23" spans="1:16" ht="18.75">
      <c r="A23" s="54" t="s">
        <v>469</v>
      </c>
      <c r="B23" s="37" t="s">
        <v>470</v>
      </c>
      <c r="C23" s="55" t="s">
        <v>471</v>
      </c>
      <c r="D23" s="56"/>
      <c r="E23" s="56">
        <v>20000</v>
      </c>
      <c r="F23" s="56">
        <v>300</v>
      </c>
      <c r="G23" s="56">
        <v>300</v>
      </c>
      <c r="H23" s="49">
        <f>AUGUST!N23</f>
        <v>-19550</v>
      </c>
      <c r="I23" s="57">
        <f t="shared" si="0"/>
        <v>1050</v>
      </c>
      <c r="J23" s="58"/>
      <c r="K23" s="59"/>
      <c r="L23" s="86"/>
      <c r="M23" s="60" t="s">
        <v>519</v>
      </c>
      <c r="N23" s="57">
        <f t="shared" si="1"/>
        <v>1050</v>
      </c>
      <c r="O23" s="63"/>
      <c r="P23" s="57" t="s">
        <v>173</v>
      </c>
    </row>
    <row r="24" spans="1:16" ht="18.75">
      <c r="A24" s="54" t="s">
        <v>50</v>
      </c>
      <c r="B24" s="37" t="s">
        <v>187</v>
      </c>
      <c r="C24" s="55" t="s">
        <v>95</v>
      </c>
      <c r="D24" s="56"/>
      <c r="E24" s="56">
        <v>21000</v>
      </c>
      <c r="F24" s="56">
        <v>300</v>
      </c>
      <c r="G24" s="56">
        <v>300</v>
      </c>
      <c r="H24" s="49">
        <f>AUGUST!N24</f>
        <v>15150</v>
      </c>
      <c r="I24" s="57">
        <f t="shared" si="0"/>
        <v>36750</v>
      </c>
      <c r="J24" s="58"/>
      <c r="K24" s="59"/>
      <c r="L24" s="86"/>
      <c r="M24" s="60" t="s">
        <v>519</v>
      </c>
      <c r="N24" s="57">
        <f t="shared" si="1"/>
        <v>36750</v>
      </c>
      <c r="O24" s="63"/>
      <c r="P24" s="57" t="s">
        <v>173</v>
      </c>
    </row>
    <row r="25" spans="1:16" ht="18.75">
      <c r="A25" s="54" t="s">
        <v>51</v>
      </c>
      <c r="B25" s="37" t="s">
        <v>96</v>
      </c>
      <c r="C25" s="55"/>
      <c r="D25" s="56"/>
      <c r="E25" s="56"/>
      <c r="F25" s="56">
        <v>0</v>
      </c>
      <c r="G25" s="56"/>
      <c r="H25" s="49">
        <f>AUGUST!N25</f>
        <v>1350</v>
      </c>
      <c r="I25" s="57">
        <f t="shared" si="0"/>
        <v>1350</v>
      </c>
      <c r="J25" s="58"/>
      <c r="K25" s="59"/>
      <c r="L25" s="59"/>
      <c r="M25" s="60" t="s">
        <v>519</v>
      </c>
      <c r="N25" s="57">
        <f t="shared" si="1"/>
        <v>1350</v>
      </c>
      <c r="O25" s="63"/>
      <c r="P25" s="57" t="s">
        <v>173</v>
      </c>
    </row>
    <row r="26" spans="1:16" ht="18.75">
      <c r="A26" s="54" t="s">
        <v>52</v>
      </c>
      <c r="B26" s="37" t="s">
        <v>203</v>
      </c>
      <c r="C26" s="55" t="s">
        <v>204</v>
      </c>
      <c r="D26" s="56"/>
      <c r="E26" s="56">
        <v>22000</v>
      </c>
      <c r="F26" s="56">
        <v>600</v>
      </c>
      <c r="G26" s="56">
        <v>300</v>
      </c>
      <c r="H26" s="49">
        <f>AUGUST!N26</f>
        <v>750</v>
      </c>
      <c r="I26" s="57">
        <f t="shared" si="0"/>
        <v>23650</v>
      </c>
      <c r="J26" s="58">
        <f>21400</f>
        <v>21400</v>
      </c>
      <c r="K26" s="59" t="s">
        <v>540</v>
      </c>
      <c r="L26" s="86">
        <v>46271</v>
      </c>
      <c r="M26" s="60" t="s">
        <v>519</v>
      </c>
      <c r="N26" s="57">
        <f t="shared" si="1"/>
        <v>2250</v>
      </c>
      <c r="O26" s="63"/>
      <c r="P26" s="57" t="s">
        <v>173</v>
      </c>
    </row>
    <row r="27" spans="1:16" ht="18.75">
      <c r="A27" s="54" t="s">
        <v>53</v>
      </c>
      <c r="B27" s="37" t="s">
        <v>99</v>
      </c>
      <c r="C27" s="55" t="s">
        <v>100</v>
      </c>
      <c r="D27" s="56"/>
      <c r="E27" s="56">
        <v>21000</v>
      </c>
      <c r="F27" s="56">
        <v>1950</v>
      </c>
      <c r="G27" s="56">
        <v>300</v>
      </c>
      <c r="H27" s="49">
        <f>AUGUST!N27</f>
        <v>-2550</v>
      </c>
      <c r="I27" s="57">
        <f t="shared" si="0"/>
        <v>20700</v>
      </c>
      <c r="J27" s="58">
        <f>23250</f>
        <v>23250</v>
      </c>
      <c r="K27" s="59" t="s">
        <v>534</v>
      </c>
      <c r="L27" s="90">
        <v>46270</v>
      </c>
      <c r="M27" s="60" t="s">
        <v>519</v>
      </c>
      <c r="N27" s="57">
        <f t="shared" si="1"/>
        <v>-2550</v>
      </c>
      <c r="O27" s="63"/>
      <c r="P27" s="57" t="s">
        <v>173</v>
      </c>
    </row>
    <row r="28" spans="1:16" ht="18.75">
      <c r="A28" s="54" t="s">
        <v>54</v>
      </c>
      <c r="B28" s="37" t="s">
        <v>145</v>
      </c>
      <c r="C28" s="55" t="s">
        <v>101</v>
      </c>
      <c r="D28" s="56"/>
      <c r="E28" s="56">
        <v>22000</v>
      </c>
      <c r="F28" s="56">
        <v>600</v>
      </c>
      <c r="G28" s="56">
        <v>300</v>
      </c>
      <c r="H28" s="49">
        <f>AUGUST!N28</f>
        <v>1200</v>
      </c>
      <c r="I28" s="57">
        <f t="shared" si="0"/>
        <v>24100</v>
      </c>
      <c r="J28" s="58"/>
      <c r="K28" s="59"/>
      <c r="L28" s="86"/>
      <c r="M28" s="60" t="s">
        <v>519</v>
      </c>
      <c r="N28" s="57">
        <f t="shared" si="1"/>
        <v>24100</v>
      </c>
      <c r="O28" s="63"/>
      <c r="P28" s="57" t="s">
        <v>173</v>
      </c>
    </row>
    <row r="29" spans="1:16" ht="18.75">
      <c r="A29" s="54" t="s">
        <v>55</v>
      </c>
      <c r="B29" s="37" t="s">
        <v>397</v>
      </c>
      <c r="C29" s="55" t="s">
        <v>398</v>
      </c>
      <c r="D29" s="56"/>
      <c r="E29" s="56">
        <v>21000</v>
      </c>
      <c r="F29" s="56">
        <v>600</v>
      </c>
      <c r="G29" s="56">
        <v>300</v>
      </c>
      <c r="H29" s="49">
        <f>AUGUST!N29</f>
        <v>3950</v>
      </c>
      <c r="I29" s="57">
        <f t="shared" si="0"/>
        <v>25850</v>
      </c>
      <c r="J29" s="58">
        <f>20900</f>
        <v>20900</v>
      </c>
      <c r="K29" s="59" t="s">
        <v>533</v>
      </c>
      <c r="L29" s="86">
        <v>46269</v>
      </c>
      <c r="M29" s="60" t="s">
        <v>519</v>
      </c>
      <c r="N29" s="57">
        <f t="shared" si="1"/>
        <v>4950</v>
      </c>
      <c r="O29" s="63"/>
      <c r="P29" s="57" t="s">
        <v>173</v>
      </c>
    </row>
    <row r="30" spans="1:16" ht="18.75">
      <c r="A30" s="54" t="s">
        <v>56</v>
      </c>
      <c r="B30" s="37" t="s">
        <v>104</v>
      </c>
      <c r="C30" s="55" t="s">
        <v>105</v>
      </c>
      <c r="D30" s="56"/>
      <c r="E30" s="56">
        <v>20000</v>
      </c>
      <c r="F30" s="56">
        <v>1200</v>
      </c>
      <c r="G30" s="56">
        <v>300</v>
      </c>
      <c r="H30" s="49">
        <f>AUGUST!N30</f>
        <v>-1500</v>
      </c>
      <c r="I30" s="57">
        <f t="shared" si="0"/>
        <v>20000</v>
      </c>
      <c r="J30" s="58">
        <f>21500</f>
        <v>21500</v>
      </c>
      <c r="K30" s="59" t="s">
        <v>528</v>
      </c>
      <c r="L30" s="86">
        <v>46270</v>
      </c>
      <c r="M30" s="60" t="s">
        <v>519</v>
      </c>
      <c r="N30" s="57">
        <f t="shared" si="1"/>
        <v>-1500</v>
      </c>
      <c r="O30" s="63"/>
      <c r="P30" s="57" t="s">
        <v>173</v>
      </c>
    </row>
    <row r="31" spans="1:16" ht="18.75">
      <c r="A31" s="54" t="s">
        <v>57</v>
      </c>
      <c r="B31" s="37" t="s">
        <v>424</v>
      </c>
      <c r="C31" s="55" t="s">
        <v>106</v>
      </c>
      <c r="D31" s="56"/>
      <c r="E31" s="56">
        <v>21000</v>
      </c>
      <c r="F31" s="56">
        <v>300</v>
      </c>
      <c r="G31" s="56">
        <v>300</v>
      </c>
      <c r="H31" s="49">
        <f>AUGUST!N31</f>
        <v>-19200</v>
      </c>
      <c r="I31" s="57">
        <f t="shared" si="0"/>
        <v>2400</v>
      </c>
      <c r="J31" s="58">
        <f>21000</f>
        <v>21000</v>
      </c>
      <c r="K31" s="59" t="s">
        <v>524</v>
      </c>
      <c r="L31" s="86">
        <v>46266</v>
      </c>
      <c r="M31" s="60" t="s">
        <v>519</v>
      </c>
      <c r="N31" s="57">
        <f t="shared" si="1"/>
        <v>-18600</v>
      </c>
      <c r="O31" s="63"/>
      <c r="P31" s="57" t="s">
        <v>173</v>
      </c>
    </row>
    <row r="32" spans="1:16" ht="18.75">
      <c r="A32" s="54" t="s">
        <v>58</v>
      </c>
      <c r="B32" s="37" t="s">
        <v>350</v>
      </c>
      <c r="C32" s="55" t="s">
        <v>351</v>
      </c>
      <c r="D32" s="56"/>
      <c r="E32" s="56">
        <v>22000</v>
      </c>
      <c r="F32" s="56">
        <v>300</v>
      </c>
      <c r="G32" s="56"/>
      <c r="H32" s="49">
        <f>AUGUST!N32</f>
        <v>150</v>
      </c>
      <c r="I32" s="57">
        <f t="shared" si="0"/>
        <v>22450</v>
      </c>
      <c r="J32" s="58">
        <f>22500</f>
        <v>22500</v>
      </c>
      <c r="K32" s="59" t="s">
        <v>525</v>
      </c>
      <c r="L32" s="86">
        <v>46268</v>
      </c>
      <c r="M32" s="60" t="s">
        <v>519</v>
      </c>
      <c r="N32" s="57">
        <f t="shared" si="1"/>
        <v>-50</v>
      </c>
      <c r="O32" s="63"/>
      <c r="P32" s="57" t="s">
        <v>173</v>
      </c>
    </row>
    <row r="33" spans="1:17" ht="18.75">
      <c r="A33" s="54" t="s">
        <v>59</v>
      </c>
      <c r="B33" s="37" t="s">
        <v>109</v>
      </c>
      <c r="C33" s="55" t="s">
        <v>110</v>
      </c>
      <c r="D33" s="56"/>
      <c r="E33" s="56">
        <v>12000</v>
      </c>
      <c r="F33" s="56">
        <v>450</v>
      </c>
      <c r="G33" s="56">
        <v>300</v>
      </c>
      <c r="H33" s="49">
        <f>AUGUST!N33</f>
        <v>42950</v>
      </c>
      <c r="I33" s="57">
        <f t="shared" si="0"/>
        <v>55700</v>
      </c>
      <c r="J33" s="58"/>
      <c r="K33" s="59"/>
      <c r="L33" s="86"/>
      <c r="M33" s="60" t="s">
        <v>519</v>
      </c>
      <c r="N33" s="57">
        <f t="shared" si="1"/>
        <v>55700</v>
      </c>
      <c r="O33" s="63"/>
      <c r="P33" s="57" t="s">
        <v>173</v>
      </c>
    </row>
    <row r="34" spans="1:17" ht="18.75">
      <c r="A34" s="54" t="s">
        <v>60</v>
      </c>
      <c r="B34" s="37" t="s">
        <v>111</v>
      </c>
      <c r="C34" s="55" t="s">
        <v>112</v>
      </c>
      <c r="D34" s="56"/>
      <c r="E34" s="56">
        <v>20000</v>
      </c>
      <c r="F34" s="56">
        <v>600</v>
      </c>
      <c r="G34" s="56">
        <v>300</v>
      </c>
      <c r="H34" s="49">
        <f>AUGUST!N34</f>
        <v>-20150</v>
      </c>
      <c r="I34" s="57">
        <f t="shared" si="0"/>
        <v>750</v>
      </c>
      <c r="J34" s="58"/>
      <c r="K34" s="59"/>
      <c r="L34" s="86"/>
      <c r="M34" s="60" t="s">
        <v>519</v>
      </c>
      <c r="N34" s="57">
        <f t="shared" si="1"/>
        <v>750</v>
      </c>
      <c r="O34" s="63"/>
      <c r="P34" s="57" t="s">
        <v>173</v>
      </c>
    </row>
    <row r="35" spans="1:17" ht="18.75">
      <c r="A35" s="54" t="s">
        <v>61</v>
      </c>
      <c r="B35" s="37" t="s">
        <v>113</v>
      </c>
      <c r="C35" s="55" t="s">
        <v>114</v>
      </c>
      <c r="D35" s="56"/>
      <c r="E35" s="56">
        <v>20000</v>
      </c>
      <c r="F35" s="56">
        <v>150</v>
      </c>
      <c r="G35" s="56">
        <v>300</v>
      </c>
      <c r="H35" s="49">
        <f>AUGUST!N35</f>
        <v>3000</v>
      </c>
      <c r="I35" s="57">
        <f t="shared" si="0"/>
        <v>23450</v>
      </c>
      <c r="J35" s="58">
        <f>20300</f>
        <v>20300</v>
      </c>
      <c r="K35" s="59" t="s">
        <v>538</v>
      </c>
      <c r="L35" s="86">
        <v>46269</v>
      </c>
      <c r="M35" s="60" t="s">
        <v>519</v>
      </c>
      <c r="N35" s="57">
        <f t="shared" si="1"/>
        <v>3150</v>
      </c>
      <c r="O35" s="63"/>
      <c r="P35" s="57" t="s">
        <v>173</v>
      </c>
    </row>
    <row r="36" spans="1:17" ht="18.75">
      <c r="A36" s="54" t="s">
        <v>62</v>
      </c>
      <c r="B36" s="37" t="s">
        <v>115</v>
      </c>
      <c r="C36" s="55" t="s">
        <v>116</v>
      </c>
      <c r="D36" s="56"/>
      <c r="E36" s="56">
        <v>22000</v>
      </c>
      <c r="F36" s="56">
        <v>1350</v>
      </c>
      <c r="G36" s="56">
        <v>300</v>
      </c>
      <c r="H36" s="49">
        <f>AUGUST!N36</f>
        <v>-1350</v>
      </c>
      <c r="I36" s="57">
        <f t="shared" si="0"/>
        <v>22300</v>
      </c>
      <c r="J36" s="58"/>
      <c r="K36" s="59"/>
      <c r="L36" s="86"/>
      <c r="M36" s="60" t="s">
        <v>519</v>
      </c>
      <c r="N36" s="57">
        <f t="shared" si="1"/>
        <v>22300</v>
      </c>
      <c r="O36" s="63"/>
      <c r="P36" s="57" t="s">
        <v>173</v>
      </c>
    </row>
    <row r="37" spans="1:17" ht="18.75">
      <c r="A37" s="54" t="s">
        <v>63</v>
      </c>
      <c r="B37" s="37" t="s">
        <v>553</v>
      </c>
      <c r="C37" s="55"/>
      <c r="D37" s="56">
        <v>21000</v>
      </c>
      <c r="E37" s="56">
        <v>21000</v>
      </c>
      <c r="F37" s="56">
        <v>0</v>
      </c>
      <c r="G37" s="56">
        <v>300</v>
      </c>
      <c r="H37" s="49">
        <v>0</v>
      </c>
      <c r="I37" s="57">
        <f t="shared" si="0"/>
        <v>42300</v>
      </c>
      <c r="J37" s="58">
        <f>21000</f>
        <v>21000</v>
      </c>
      <c r="K37" s="59" t="s">
        <v>554</v>
      </c>
      <c r="L37" s="87" t="s">
        <v>555</v>
      </c>
      <c r="M37" s="60" t="s">
        <v>519</v>
      </c>
      <c r="N37" s="57">
        <f t="shared" si="1"/>
        <v>21300</v>
      </c>
      <c r="O37" s="63"/>
      <c r="P37" s="57" t="s">
        <v>173</v>
      </c>
      <c r="Q37" t="s">
        <v>551</v>
      </c>
    </row>
    <row r="38" spans="1:17" ht="18.75">
      <c r="A38" s="54" t="s">
        <v>64</v>
      </c>
      <c r="B38" s="37" t="s">
        <v>120</v>
      </c>
      <c r="C38" s="55" t="s">
        <v>119</v>
      </c>
      <c r="D38" s="56"/>
      <c r="E38" s="56">
        <v>21000</v>
      </c>
      <c r="F38" s="56">
        <v>150</v>
      </c>
      <c r="G38" s="56">
        <v>300</v>
      </c>
      <c r="H38" s="49">
        <f>AUGUST!N38</f>
        <v>1650</v>
      </c>
      <c r="I38" s="57">
        <f t="shared" si="0"/>
        <v>23100</v>
      </c>
      <c r="J38" s="58">
        <f>21450</f>
        <v>21450</v>
      </c>
      <c r="K38" s="59" t="s">
        <v>539</v>
      </c>
      <c r="L38" s="86">
        <v>46271</v>
      </c>
      <c r="M38" s="60" t="s">
        <v>519</v>
      </c>
      <c r="N38" s="57">
        <f t="shared" si="1"/>
        <v>1650</v>
      </c>
      <c r="O38" s="63"/>
      <c r="P38" s="57" t="s">
        <v>173</v>
      </c>
    </row>
    <row r="39" spans="1:17" ht="18.75">
      <c r="A39" s="54" t="s">
        <v>65</v>
      </c>
      <c r="B39" s="37" t="s">
        <v>382</v>
      </c>
      <c r="C39" s="55" t="s">
        <v>383</v>
      </c>
      <c r="D39" s="56"/>
      <c r="E39" s="56">
        <v>20000</v>
      </c>
      <c r="F39" s="56">
        <v>1650</v>
      </c>
      <c r="G39" s="56">
        <v>300</v>
      </c>
      <c r="H39" s="49">
        <f>AUGUST!N39</f>
        <v>-19850</v>
      </c>
      <c r="I39" s="57">
        <f t="shared" si="0"/>
        <v>2100</v>
      </c>
      <c r="J39" s="58">
        <f>20000</f>
        <v>20000</v>
      </c>
      <c r="K39" s="59" t="s">
        <v>530</v>
      </c>
      <c r="L39" s="86">
        <v>46270</v>
      </c>
      <c r="M39" s="60" t="s">
        <v>519</v>
      </c>
      <c r="N39" s="57">
        <f t="shared" si="1"/>
        <v>-17900</v>
      </c>
      <c r="O39" s="63"/>
      <c r="P39" s="57" t="s">
        <v>173</v>
      </c>
    </row>
    <row r="40" spans="1:17" ht="18.75">
      <c r="A40" s="54" t="s">
        <v>66</v>
      </c>
      <c r="B40" s="37" t="s">
        <v>124</v>
      </c>
      <c r="C40" s="55" t="s">
        <v>123</v>
      </c>
      <c r="D40" s="56"/>
      <c r="E40" s="56">
        <v>20000</v>
      </c>
      <c r="F40" s="56">
        <v>1050</v>
      </c>
      <c r="G40" s="56">
        <v>300</v>
      </c>
      <c r="H40" s="49">
        <f>AUGUST!N40</f>
        <v>1050</v>
      </c>
      <c r="I40" s="57">
        <f t="shared" si="0"/>
        <v>22400</v>
      </c>
      <c r="J40" s="58">
        <f>21350</f>
        <v>21350</v>
      </c>
      <c r="K40" s="59" t="s">
        <v>532</v>
      </c>
      <c r="L40" s="86">
        <v>46270</v>
      </c>
      <c r="M40" s="60" t="s">
        <v>519</v>
      </c>
      <c r="N40" s="57">
        <f t="shared" si="1"/>
        <v>1050</v>
      </c>
      <c r="O40" s="63"/>
      <c r="P40" s="57" t="s">
        <v>173</v>
      </c>
    </row>
    <row r="41" spans="1:17" ht="18.75">
      <c r="A41" s="54" t="s">
        <v>67</v>
      </c>
      <c r="B41" s="37" t="s">
        <v>125</v>
      </c>
      <c r="C41" s="55" t="s">
        <v>126</v>
      </c>
      <c r="D41" s="61"/>
      <c r="E41" s="56">
        <v>12000</v>
      </c>
      <c r="F41" s="56">
        <v>600</v>
      </c>
      <c r="G41" s="56">
        <v>300</v>
      </c>
      <c r="H41" s="49">
        <f>AUGUST!N41</f>
        <v>900</v>
      </c>
      <c r="I41" s="57">
        <f t="shared" si="0"/>
        <v>13800</v>
      </c>
      <c r="J41" s="58"/>
      <c r="K41" s="59"/>
      <c r="L41" s="86"/>
      <c r="M41" s="60" t="s">
        <v>519</v>
      </c>
      <c r="N41" s="57">
        <f t="shared" si="1"/>
        <v>13800</v>
      </c>
      <c r="O41" s="63"/>
      <c r="P41" s="57" t="s">
        <v>173</v>
      </c>
    </row>
    <row r="42" spans="1:17" ht="18.75">
      <c r="A42" s="54" t="s">
        <v>68</v>
      </c>
      <c r="B42" s="37" t="s">
        <v>127</v>
      </c>
      <c r="C42" s="55" t="s">
        <v>128</v>
      </c>
      <c r="D42" s="56"/>
      <c r="E42" s="56">
        <v>20000</v>
      </c>
      <c r="F42" s="56">
        <v>600</v>
      </c>
      <c r="G42" s="56">
        <v>300</v>
      </c>
      <c r="H42" s="49">
        <f>AUGUST!N42</f>
        <v>40950</v>
      </c>
      <c r="I42" s="57">
        <f t="shared" si="0"/>
        <v>61850</v>
      </c>
      <c r="J42" s="58"/>
      <c r="K42" s="59"/>
      <c r="L42" s="86"/>
      <c r="M42" s="60" t="s">
        <v>519</v>
      </c>
      <c r="N42" s="57">
        <f t="shared" si="1"/>
        <v>61850</v>
      </c>
      <c r="O42" s="63"/>
      <c r="P42" s="57" t="s">
        <v>173</v>
      </c>
    </row>
    <row r="43" spans="1:17" ht="18.75">
      <c r="A43" s="54" t="s">
        <v>69</v>
      </c>
      <c r="B43" s="37" t="s">
        <v>121</v>
      </c>
      <c r="C43" s="55" t="s">
        <v>122</v>
      </c>
      <c r="D43" s="56"/>
      <c r="E43" s="56">
        <v>20000</v>
      </c>
      <c r="F43" s="56">
        <v>1200</v>
      </c>
      <c r="G43" s="56">
        <v>300</v>
      </c>
      <c r="H43" s="49">
        <f>AUGUST!N43</f>
        <v>-9250</v>
      </c>
      <c r="I43" s="57">
        <f t="shared" si="0"/>
        <v>12250</v>
      </c>
      <c r="J43" s="58">
        <f>21500</f>
        <v>21500</v>
      </c>
      <c r="K43" s="86" t="s">
        <v>535</v>
      </c>
      <c r="L43" s="86">
        <v>46270</v>
      </c>
      <c r="M43" s="60" t="s">
        <v>519</v>
      </c>
      <c r="N43" s="57">
        <f t="shared" si="1"/>
        <v>-9250</v>
      </c>
      <c r="O43" s="63"/>
      <c r="P43" s="57" t="s">
        <v>173</v>
      </c>
    </row>
    <row r="44" spans="1:17" ht="18.75">
      <c r="A44" s="54" t="s">
        <v>70</v>
      </c>
      <c r="B44" s="37" t="s">
        <v>131</v>
      </c>
      <c r="C44" s="55" t="s">
        <v>132</v>
      </c>
      <c r="D44" s="56"/>
      <c r="E44" s="56">
        <v>20000</v>
      </c>
      <c r="F44" s="56">
        <v>450</v>
      </c>
      <c r="G44" s="56">
        <v>300</v>
      </c>
      <c r="H44" s="49">
        <f>AUGUST!N44</f>
        <v>2000</v>
      </c>
      <c r="I44" s="57">
        <f t="shared" si="0"/>
        <v>22750</v>
      </c>
      <c r="J44" s="58"/>
      <c r="K44" s="86"/>
      <c r="L44" s="86"/>
      <c r="M44" s="60" t="s">
        <v>519</v>
      </c>
      <c r="N44" s="57">
        <f t="shared" si="1"/>
        <v>22750</v>
      </c>
      <c r="O44" s="63"/>
      <c r="P44" s="57" t="s">
        <v>173</v>
      </c>
    </row>
    <row r="45" spans="1:17" ht="18.75">
      <c r="A45" s="54" t="s">
        <v>71</v>
      </c>
      <c r="B45" s="37" t="s">
        <v>448</v>
      </c>
      <c r="C45" s="55" t="s">
        <v>449</v>
      </c>
      <c r="D45" s="56"/>
      <c r="E45" s="56">
        <v>21000</v>
      </c>
      <c r="F45" s="56">
        <v>450</v>
      </c>
      <c r="G45" s="56">
        <v>300</v>
      </c>
      <c r="H45" s="49">
        <f>AUGUST!N45</f>
        <v>-150</v>
      </c>
      <c r="I45" s="57">
        <f t="shared" si="0"/>
        <v>21600</v>
      </c>
      <c r="J45" s="58">
        <f>21750</f>
        <v>21750</v>
      </c>
      <c r="K45" s="59" t="s">
        <v>552</v>
      </c>
      <c r="L45" s="86">
        <v>46270</v>
      </c>
      <c r="M45" s="60" t="s">
        <v>519</v>
      </c>
      <c r="N45" s="57">
        <f t="shared" si="1"/>
        <v>-150</v>
      </c>
      <c r="O45" s="63"/>
      <c r="P45" s="57" t="s">
        <v>173</v>
      </c>
    </row>
    <row r="46" spans="1:17" ht="18.75">
      <c r="A46" s="54" t="s">
        <v>72</v>
      </c>
      <c r="B46" s="37" t="s">
        <v>135</v>
      </c>
      <c r="C46" s="55" t="s">
        <v>136</v>
      </c>
      <c r="D46" s="56"/>
      <c r="E46" s="56">
        <v>12000</v>
      </c>
      <c r="F46" s="56">
        <v>150</v>
      </c>
      <c r="G46" s="56">
        <v>300</v>
      </c>
      <c r="H46" s="49">
        <f>AUGUST!N46</f>
        <v>1950</v>
      </c>
      <c r="I46" s="57">
        <f t="shared" si="0"/>
        <v>14400</v>
      </c>
      <c r="J46" s="58"/>
      <c r="K46" s="59"/>
      <c r="L46" s="86"/>
      <c r="M46" s="60" t="s">
        <v>519</v>
      </c>
      <c r="N46" s="57">
        <f t="shared" si="1"/>
        <v>14400</v>
      </c>
      <c r="O46" s="63"/>
      <c r="P46" s="57" t="s">
        <v>173</v>
      </c>
    </row>
    <row r="47" spans="1:17" ht="18.75">
      <c r="A47" s="54" t="s">
        <v>73</v>
      </c>
      <c r="B47" s="37" t="s">
        <v>137</v>
      </c>
      <c r="C47" s="55" t="s">
        <v>139</v>
      </c>
      <c r="D47" s="62"/>
      <c r="E47" s="62">
        <v>20000</v>
      </c>
      <c r="F47" s="62">
        <v>1800</v>
      </c>
      <c r="G47" s="56">
        <v>300</v>
      </c>
      <c r="H47" s="49">
        <f>AUGUST!N47</f>
        <v>-1650</v>
      </c>
      <c r="I47" s="57">
        <f t="shared" si="0"/>
        <v>20450</v>
      </c>
      <c r="J47" s="58">
        <f>22100</f>
        <v>22100</v>
      </c>
      <c r="K47" s="59" t="s">
        <v>531</v>
      </c>
      <c r="L47" s="86">
        <v>46270</v>
      </c>
      <c r="M47" s="60" t="s">
        <v>519</v>
      </c>
      <c r="N47" s="57">
        <f t="shared" si="1"/>
        <v>-1650</v>
      </c>
      <c r="O47" s="63"/>
      <c r="P47" s="57" t="s">
        <v>173</v>
      </c>
    </row>
    <row r="48" spans="1:17" ht="18.75">
      <c r="A48" s="54" t="s">
        <v>74</v>
      </c>
      <c r="B48" s="37" t="s">
        <v>143</v>
      </c>
      <c r="C48" s="55" t="s">
        <v>138</v>
      </c>
      <c r="D48" s="56"/>
      <c r="E48" s="56">
        <v>20000</v>
      </c>
      <c r="F48" s="56">
        <v>750</v>
      </c>
      <c r="G48" s="56">
        <v>300</v>
      </c>
      <c r="H48" s="49">
        <f>AUGUST!N48</f>
        <v>1650</v>
      </c>
      <c r="I48" s="57">
        <f t="shared" si="0"/>
        <v>22700</v>
      </c>
      <c r="J48" s="58"/>
      <c r="K48" s="59"/>
      <c r="L48" s="86"/>
      <c r="M48" s="60" t="s">
        <v>519</v>
      </c>
      <c r="N48" s="57">
        <f t="shared" si="1"/>
        <v>22700</v>
      </c>
      <c r="O48" s="63"/>
      <c r="P48" s="57" t="s">
        <v>173</v>
      </c>
    </row>
    <row r="49" spans="1:16" ht="18.75">
      <c r="A49" s="65" t="s">
        <v>20</v>
      </c>
      <c r="B49" s="66"/>
      <c r="C49" s="67"/>
      <c r="D49" s="68">
        <f t="shared" ref="D49:J49" si="2">SUM(D10:D48)</f>
        <v>42000</v>
      </c>
      <c r="E49" s="68">
        <f t="shared" si="2"/>
        <v>741000</v>
      </c>
      <c r="F49" s="68">
        <f t="shared" si="2"/>
        <v>23700</v>
      </c>
      <c r="G49" s="68">
        <f t="shared" si="2"/>
        <v>10800</v>
      </c>
      <c r="H49" s="69">
        <f t="shared" si="2"/>
        <v>43350</v>
      </c>
      <c r="I49" s="57">
        <f t="shared" si="2"/>
        <v>860850</v>
      </c>
      <c r="J49" s="70">
        <f t="shared" si="2"/>
        <v>450900</v>
      </c>
      <c r="K49" s="59"/>
      <c r="L49" s="59"/>
      <c r="M49" s="104"/>
      <c r="N49" s="68">
        <f>SUM(N10:N48)</f>
        <v>409950</v>
      </c>
      <c r="O49" s="71"/>
      <c r="P49" s="68"/>
    </row>
    <row r="50" spans="1:16" ht="18.75">
      <c r="A50" s="36"/>
      <c r="B50" s="37"/>
      <c r="C50" s="67"/>
      <c r="D50" s="72"/>
      <c r="E50" s="73">
        <v>0</v>
      </c>
      <c r="F50" s="73"/>
      <c r="G50" s="73"/>
      <c r="H50" s="74"/>
      <c r="I50" s="73"/>
      <c r="J50" s="73"/>
      <c r="K50" s="36"/>
      <c r="L50" s="36"/>
      <c r="M50" s="103"/>
      <c r="N50" s="57"/>
      <c r="O50" s="73"/>
      <c r="P50" s="57"/>
    </row>
    <row r="51" spans="1:16" ht="18.75">
      <c r="A51" s="75" t="s">
        <v>21</v>
      </c>
      <c r="B51" s="37"/>
      <c r="C51" s="67"/>
      <c r="D51" s="72"/>
      <c r="E51" s="73"/>
      <c r="F51" s="73"/>
      <c r="G51" s="73"/>
      <c r="H51" s="74"/>
      <c r="I51" s="73"/>
      <c r="J51" s="73"/>
      <c r="K51" s="36"/>
      <c r="L51" s="36"/>
      <c r="M51" s="103"/>
      <c r="N51" s="57"/>
      <c r="O51" s="73"/>
      <c r="P51" s="57"/>
    </row>
    <row r="52" spans="1:16" ht="18.75">
      <c r="A52" s="37" t="s">
        <v>22</v>
      </c>
      <c r="B52" s="37"/>
      <c r="C52" s="67"/>
      <c r="D52" s="37"/>
      <c r="E52" s="37"/>
      <c r="F52" s="37"/>
      <c r="G52" s="37"/>
      <c r="H52" s="49"/>
      <c r="I52" s="37"/>
      <c r="J52" s="76">
        <f>J49*5%</f>
        <v>22545</v>
      </c>
      <c r="K52" s="37"/>
      <c r="L52" s="37"/>
      <c r="M52" s="105"/>
      <c r="N52" s="57"/>
      <c r="O52" s="45"/>
      <c r="P52" s="57"/>
    </row>
    <row r="53" spans="1:16" ht="21">
      <c r="A53" s="45" t="s">
        <v>23</v>
      </c>
      <c r="B53" s="45"/>
      <c r="C53" s="45"/>
      <c r="D53" s="45"/>
      <c r="E53" s="45"/>
      <c r="F53" s="45"/>
      <c r="G53" s="45"/>
      <c r="H53" s="69"/>
      <c r="I53" s="45"/>
      <c r="J53" s="77">
        <f>SUM(J52:J52)</f>
        <v>22545</v>
      </c>
      <c r="K53" s="45"/>
      <c r="L53" s="45"/>
      <c r="M53" s="105"/>
      <c r="N53" s="45"/>
      <c r="O53" s="45"/>
      <c r="P53" s="45"/>
    </row>
    <row r="54" spans="1:16" ht="21">
      <c r="A54" s="45"/>
      <c r="B54" s="45"/>
      <c r="C54" s="45"/>
      <c r="D54" s="45"/>
      <c r="E54" s="45"/>
      <c r="F54" s="45"/>
      <c r="G54" s="45"/>
      <c r="H54" s="69"/>
      <c r="I54" s="45"/>
      <c r="J54" s="77"/>
      <c r="K54" s="45"/>
      <c r="L54" s="45"/>
      <c r="M54" s="105"/>
      <c r="N54" s="45"/>
      <c r="O54" s="45"/>
      <c r="P54" s="45"/>
    </row>
    <row r="55" spans="1:16" ht="18.75">
      <c r="A55" s="37" t="s">
        <v>24</v>
      </c>
      <c r="B55" s="37"/>
      <c r="C55" s="37"/>
      <c r="D55" s="37"/>
      <c r="E55" s="37"/>
      <c r="F55" s="37"/>
      <c r="G55" s="37"/>
      <c r="H55" s="49"/>
      <c r="I55" s="37"/>
      <c r="J55" s="78">
        <f>JULY!N56</f>
        <v>39840</v>
      </c>
      <c r="K55" s="79" t="s">
        <v>25</v>
      </c>
      <c r="L55" s="79"/>
      <c r="M55" s="79" t="s">
        <v>26</v>
      </c>
      <c r="N55" s="79" t="s">
        <v>27</v>
      </c>
      <c r="O55" s="66"/>
      <c r="P55" s="79"/>
    </row>
    <row r="56" spans="1:16" ht="19.5" thickBot="1">
      <c r="A56" s="36" t="s">
        <v>28</v>
      </c>
      <c r="B56" s="36"/>
      <c r="C56" s="36"/>
      <c r="D56" s="36"/>
      <c r="E56" s="36"/>
      <c r="F56" s="36"/>
      <c r="G56" s="36"/>
      <c r="H56" s="74"/>
      <c r="I56" s="45"/>
      <c r="J56" s="81">
        <f>J53+J55</f>
        <v>62385</v>
      </c>
      <c r="K56" s="69"/>
      <c r="L56" s="69"/>
      <c r="M56" s="69"/>
      <c r="N56" s="82">
        <f>J56-K56-M56</f>
        <v>62385</v>
      </c>
      <c r="O56" s="66"/>
      <c r="P56" s="82"/>
    </row>
    <row r="57" spans="1:16" ht="19.5" thickTop="1">
      <c r="A57" s="37" t="s">
        <v>29</v>
      </c>
      <c r="B57" s="37"/>
      <c r="C57" s="37"/>
      <c r="D57" s="37"/>
      <c r="E57" s="37"/>
      <c r="F57" s="37"/>
      <c r="G57" s="37"/>
      <c r="H57" s="49"/>
      <c r="I57" s="37"/>
      <c r="J57" s="37"/>
      <c r="K57" s="37"/>
      <c r="L57" s="37"/>
      <c r="M57" s="37"/>
      <c r="N57" s="84" t="s">
        <v>518</v>
      </c>
      <c r="O57" s="85"/>
      <c r="P57" s="84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>
        <f>J49/I49*100</f>
        <v>52.3784631468897</v>
      </c>
      <c r="K61" s="5"/>
      <c r="L61" s="5"/>
      <c r="M61" s="5"/>
      <c r="N61" s="5"/>
      <c r="O61" s="5"/>
      <c r="P61" s="5"/>
    </row>
  </sheetData>
  <mergeCells count="1"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FEB</vt:lpstr>
      <vt:lpstr>MARCH</vt:lpstr>
      <vt:lpstr>APR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 Managers</dc:creator>
  <cp:lastModifiedBy>USER</cp:lastModifiedBy>
  <cp:lastPrinted>2026-08-07T20:34:31Z</cp:lastPrinted>
  <dcterms:created xsi:type="dcterms:W3CDTF">2026-01-28T09:13:34Z</dcterms:created>
  <dcterms:modified xsi:type="dcterms:W3CDTF">2026-09-12T09:44:46Z</dcterms:modified>
</cp:coreProperties>
</file>
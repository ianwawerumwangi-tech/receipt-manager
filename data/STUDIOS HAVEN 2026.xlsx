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LOBBY LINKED\LOBBY 2026\LANDLORD ACCOUNT(2026)\ARMSTRONG\"/>
    </mc:Choice>
  </mc:AlternateContent>
  <xr:revisionPtr revIDLastSave="530" documentId="5_{683E4469-DCA5-4D24-BF62-567040B8E1B7}" xr6:coauthVersionLast="40" xr6:coauthVersionMax="47" xr10:uidLastSave="{D9F98E96-D3E8-44F3-ACC3-D2EEF9A0F8A9}"/>
  <bookViews>
    <workbookView xWindow="-105" yWindow="-105" windowWidth="23250" windowHeight="13890" firstSheet="7" activeTab="8" xr2:uid="{9AD16AC5-249C-4104-B43A-84E23676A337}"/>
  </bookViews>
  <sheets>
    <sheet name="JAN" sheetId="1" r:id="rId1"/>
    <sheet name="FEBRUARY" sheetId="2" r:id="rId2"/>
    <sheet name="MARCH" sheetId="3" r:id="rId3"/>
    <sheet name="APR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6" i="10" l="1"/>
  <c r="I43" i="10" l="1"/>
  <c r="I36" i="10"/>
  <c r="I51" i="10"/>
  <c r="I42" i="10"/>
  <c r="I38" i="10"/>
  <c r="I55" i="10"/>
  <c r="I19" i="10"/>
  <c r="I52" i="10"/>
  <c r="I14" i="10"/>
  <c r="I53" i="10"/>
  <c r="I33" i="10"/>
  <c r="I9" i="10"/>
  <c r="E23" i="10" l="1"/>
  <c r="I23" i="10"/>
  <c r="I15" i="10"/>
  <c r="I15" i="9"/>
  <c r="I13" i="10"/>
  <c r="I30" i="10"/>
  <c r="I57" i="10" l="1"/>
  <c r="F57" i="10"/>
  <c r="E57" i="10"/>
  <c r="I60" i="10" l="1"/>
  <c r="I61" i="10" s="1"/>
  <c r="I64" i="10" s="1"/>
  <c r="M64" i="10" s="1"/>
  <c r="I40" i="9"/>
  <c r="I11" i="9" l="1"/>
  <c r="I38" i="9" l="1"/>
  <c r="I13" i="9"/>
  <c r="I31" i="9"/>
  <c r="I17" i="9"/>
  <c r="I48" i="9"/>
  <c r="I43" i="9"/>
  <c r="I28" i="9"/>
  <c r="I32" i="9"/>
  <c r="I41" i="9"/>
  <c r="I44" i="9"/>
  <c r="I20" i="9"/>
  <c r="I49" i="9"/>
  <c r="I52" i="9"/>
  <c r="I50" i="9"/>
  <c r="I12" i="9"/>
  <c r="I45" i="9"/>
  <c r="I10" i="9"/>
  <c r="I47" i="9"/>
  <c r="I25" i="9"/>
  <c r="I9" i="9"/>
  <c r="I30" i="9"/>
  <c r="I55" i="9"/>
  <c r="I27" i="9"/>
  <c r="I37" i="9"/>
  <c r="I24" i="9"/>
  <c r="I39" i="9"/>
  <c r="I22" i="9"/>
  <c r="I46" i="9"/>
  <c r="I51" i="9"/>
  <c r="I26" i="9"/>
  <c r="I35" i="9"/>
  <c r="I56" i="9"/>
  <c r="I21" i="9"/>
  <c r="I54" i="9"/>
  <c r="I18" i="9"/>
  <c r="I33" i="9"/>
  <c r="I14" i="9"/>
  <c r="I19" i="9"/>
  <c r="I34" i="9"/>
  <c r="I53" i="9"/>
  <c r="I42" i="9"/>
  <c r="H9" i="1"/>
  <c r="M9" i="1" s="1"/>
  <c r="G9" i="2" s="1"/>
  <c r="H9" i="2" s="1"/>
  <c r="M9" i="2" s="1"/>
  <c r="G9" i="3" s="1"/>
  <c r="H9" i="3" s="1"/>
  <c r="M9" i="3" s="1"/>
  <c r="G9" i="4" s="1"/>
  <c r="H9" i="4" s="1"/>
  <c r="M9" i="4" s="1"/>
  <c r="G9" i="5" s="1"/>
  <c r="H9" i="5" s="1"/>
  <c r="M9" i="5" s="1"/>
  <c r="G9" i="6" s="1"/>
  <c r="H9" i="6" s="1"/>
  <c r="M9" i="6" s="1"/>
  <c r="G9" i="7" s="1"/>
  <c r="H9" i="7" s="1"/>
  <c r="M9" i="7" s="1"/>
  <c r="G9" i="8" s="1"/>
  <c r="H9" i="8" s="1"/>
  <c r="M9" i="8" s="1"/>
  <c r="G9" i="10" s="1"/>
  <c r="H9" i="10" s="1"/>
  <c r="M9" i="10" s="1"/>
  <c r="I9" i="1"/>
  <c r="I9" i="2"/>
  <c r="I9" i="3"/>
  <c r="I9" i="7"/>
  <c r="I9" i="8"/>
  <c r="H10" i="1"/>
  <c r="I10" i="1"/>
  <c r="M10" i="1"/>
  <c r="G10" i="2" s="1"/>
  <c r="H10" i="2" s="1"/>
  <c r="I10" i="2"/>
  <c r="M10" i="2" s="1"/>
  <c r="G10" i="3" s="1"/>
  <c r="H10" i="3" s="1"/>
  <c r="M10" i="3" s="1"/>
  <c r="G10" i="4" s="1"/>
  <c r="H10" i="4" s="1"/>
  <c r="M10" i="4" s="1"/>
  <c r="I10" i="3"/>
  <c r="G10" i="5"/>
  <c r="H10" i="5" s="1"/>
  <c r="M10" i="5" s="1"/>
  <c r="G10" i="6" s="1"/>
  <c r="H10" i="6" s="1"/>
  <c r="M10" i="6" s="1"/>
  <c r="G10" i="7" s="1"/>
  <c r="H10" i="7" s="1"/>
  <c r="M10" i="7" s="1"/>
  <c r="G10" i="8" s="1"/>
  <c r="H10" i="8" s="1"/>
  <c r="M10" i="8" s="1"/>
  <c r="I10" i="7"/>
  <c r="I10" i="8"/>
  <c r="H11" i="1"/>
  <c r="M11" i="1" s="1"/>
  <c r="G11" i="2" s="1"/>
  <c r="H11" i="2" s="1"/>
  <c r="M11" i="2" s="1"/>
  <c r="G11" i="3" s="1"/>
  <c r="I11" i="2"/>
  <c r="H11" i="3"/>
  <c r="I11" i="3"/>
  <c r="H12" i="5"/>
  <c r="I12" i="5"/>
  <c r="I12" i="8"/>
  <c r="H56" i="6"/>
  <c r="M56" i="6"/>
  <c r="G56" i="7" s="1"/>
  <c r="H56" i="7" s="1"/>
  <c r="M56" i="7" s="1"/>
  <c r="G56" i="8" s="1"/>
  <c r="H56" i="8" s="1"/>
  <c r="M56" i="8" s="1"/>
  <c r="I56" i="7"/>
  <c r="I56" i="8"/>
  <c r="H55" i="1"/>
  <c r="I55" i="1"/>
  <c r="M55" i="1" s="1"/>
  <c r="G55" i="2" s="1"/>
  <c r="H55" i="2" s="1"/>
  <c r="I55" i="2"/>
  <c r="M55" i="2"/>
  <c r="G55" i="3" s="1"/>
  <c r="H55" i="3" s="1"/>
  <c r="M55" i="3" s="1"/>
  <c r="G55" i="4" s="1"/>
  <c r="H55" i="4" s="1"/>
  <c r="M55" i="4" s="1"/>
  <c r="G55" i="5" s="1"/>
  <c r="H55" i="5" s="1"/>
  <c r="M55" i="5" s="1"/>
  <c r="I55" i="3"/>
  <c r="H55" i="6"/>
  <c r="M55" i="6" s="1"/>
  <c r="I55" i="7"/>
  <c r="I55" i="8"/>
  <c r="H54" i="1"/>
  <c r="I54" i="1"/>
  <c r="M54" i="1" s="1"/>
  <c r="G54" i="2" s="1"/>
  <c r="H54" i="2" s="1"/>
  <c r="M54" i="2" s="1"/>
  <c r="G54" i="3" s="1"/>
  <c r="H54" i="3" s="1"/>
  <c r="M54" i="3" s="1"/>
  <c r="G54" i="4" s="1"/>
  <c r="H54" i="4" s="1"/>
  <c r="M54" i="4" s="1"/>
  <c r="I54" i="2"/>
  <c r="I54" i="3"/>
  <c r="G54" i="5"/>
  <c r="H54" i="5" s="1"/>
  <c r="M54" i="5" s="1"/>
  <c r="G54" i="6" s="1"/>
  <c r="H54" i="6" s="1"/>
  <c r="M54" i="6" s="1"/>
  <c r="G54" i="7" s="1"/>
  <c r="H54" i="7" s="1"/>
  <c r="M54" i="7" s="1"/>
  <c r="G54" i="8" s="1"/>
  <c r="H54" i="8" s="1"/>
  <c r="M54" i="8" s="1"/>
  <c r="I54" i="7"/>
  <c r="I54" i="8"/>
  <c r="H53" i="1"/>
  <c r="M53" i="1" s="1"/>
  <c r="G53" i="2" s="1"/>
  <c r="H53" i="2" s="1"/>
  <c r="M53" i="2" s="1"/>
  <c r="G53" i="3" s="1"/>
  <c r="H53" i="3" s="1"/>
  <c r="M53" i="3" s="1"/>
  <c r="G53" i="4" s="1"/>
  <c r="H53" i="4" s="1"/>
  <c r="M53" i="4" s="1"/>
  <c r="G53" i="5" s="1"/>
  <c r="H53" i="5" s="1"/>
  <c r="M53" i="5" s="1"/>
  <c r="G53" i="6" s="1"/>
  <c r="H53" i="6" s="1"/>
  <c r="M53" i="6" s="1"/>
  <c r="G53" i="7" s="1"/>
  <c r="H53" i="7" s="1"/>
  <c r="M53" i="7" s="1"/>
  <c r="G53" i="8" s="1"/>
  <c r="H53" i="8" s="1"/>
  <c r="M53" i="8" s="1"/>
  <c r="I53" i="2"/>
  <c r="I53" i="3"/>
  <c r="I53" i="7"/>
  <c r="H52" i="1"/>
  <c r="M52" i="1" s="1"/>
  <c r="G52" i="2"/>
  <c r="H52" i="2" s="1"/>
  <c r="M52" i="2" s="1"/>
  <c r="G52" i="3" s="1"/>
  <c r="H52" i="3" s="1"/>
  <c r="M52" i="3" s="1"/>
  <c r="G52" i="4" s="1"/>
  <c r="H52" i="4" s="1"/>
  <c r="M52" i="4" s="1"/>
  <c r="G52" i="5" s="1"/>
  <c r="H52" i="5" s="1"/>
  <c r="M52" i="5" s="1"/>
  <c r="G52" i="6" s="1"/>
  <c r="H52" i="6" s="1"/>
  <c r="M52" i="6" s="1"/>
  <c r="G52" i="7" s="1"/>
  <c r="H52" i="7" s="1"/>
  <c r="M52" i="7" s="1"/>
  <c r="G52" i="8" s="1"/>
  <c r="H52" i="8" s="1"/>
  <c r="M52" i="8" s="1"/>
  <c r="I52" i="2"/>
  <c r="I52" i="3"/>
  <c r="I52" i="7"/>
  <c r="H51" i="1"/>
  <c r="M51" i="1" s="1"/>
  <c r="I51" i="1"/>
  <c r="G51" i="2"/>
  <c r="H51" i="2" s="1"/>
  <c r="M51" i="2" s="1"/>
  <c r="G51" i="3" s="1"/>
  <c r="H51" i="3" s="1"/>
  <c r="M51" i="3" s="1"/>
  <c r="G51" i="4" s="1"/>
  <c r="H51" i="4" s="1"/>
  <c r="M51" i="4" s="1"/>
  <c r="G51" i="5" s="1"/>
  <c r="H51" i="5" s="1"/>
  <c r="M51" i="5" s="1"/>
  <c r="G51" i="6" s="1"/>
  <c r="H51" i="6" s="1"/>
  <c r="M51" i="6" s="1"/>
  <c r="G51" i="7" s="1"/>
  <c r="H51" i="7" s="1"/>
  <c r="M51" i="7" s="1"/>
  <c r="G51" i="8" s="1"/>
  <c r="H51" i="8" s="1"/>
  <c r="M51" i="8" s="1"/>
  <c r="I51" i="2"/>
  <c r="I51" i="3"/>
  <c r="I51" i="6"/>
  <c r="I51" i="7"/>
  <c r="H50" i="1"/>
  <c r="I50" i="1"/>
  <c r="M50" i="1"/>
  <c r="G50" i="2" s="1"/>
  <c r="H50" i="2" s="1"/>
  <c r="M50" i="2" s="1"/>
  <c r="G50" i="3" s="1"/>
  <c r="I50" i="2"/>
  <c r="H50" i="3"/>
  <c r="M50" i="3" s="1"/>
  <c r="G50" i="4" s="1"/>
  <c r="H50" i="4" s="1"/>
  <c r="M50" i="4" s="1"/>
  <c r="G50" i="5" s="1"/>
  <c r="H50" i="5" s="1"/>
  <c r="M50" i="5" s="1"/>
  <c r="G50" i="6" s="1"/>
  <c r="H50" i="6" s="1"/>
  <c r="M50" i="6" s="1"/>
  <c r="G50" i="7" s="1"/>
  <c r="H50" i="7" s="1"/>
  <c r="M50" i="7" s="1"/>
  <c r="G50" i="8" s="1"/>
  <c r="H50" i="8" s="1"/>
  <c r="M50" i="8" s="1"/>
  <c r="I50" i="3"/>
  <c r="I50" i="8"/>
  <c r="H49" i="1"/>
  <c r="M49" i="1" s="1"/>
  <c r="G49" i="2" s="1"/>
  <c r="H49" i="2" s="1"/>
  <c r="M49" i="2" s="1"/>
  <c r="G49" i="3" s="1"/>
  <c r="H49" i="3" s="1"/>
  <c r="M49" i="3" s="1"/>
  <c r="G49" i="4" s="1"/>
  <c r="H49" i="4" s="1"/>
  <c r="M49" i="4" s="1"/>
  <c r="G49" i="5" s="1"/>
  <c r="H49" i="5" s="1"/>
  <c r="M49" i="5" s="1"/>
  <c r="G49" i="6" s="1"/>
  <c r="H49" i="6" s="1"/>
  <c r="M49" i="6" s="1"/>
  <c r="G49" i="7" s="1"/>
  <c r="H49" i="7" s="1"/>
  <c r="M49" i="7" s="1"/>
  <c r="G49" i="8" s="1"/>
  <c r="H49" i="8" s="1"/>
  <c r="M49" i="8" s="1"/>
  <c r="I49" i="1"/>
  <c r="I49" i="3"/>
  <c r="I49" i="7"/>
  <c r="I49" i="8"/>
  <c r="H48" i="1"/>
  <c r="M48" i="1" s="1"/>
  <c r="G48" i="2"/>
  <c r="H48" i="2"/>
  <c r="M48" i="2" s="1"/>
  <c r="G48" i="3" s="1"/>
  <c r="H48" i="3" s="1"/>
  <c r="M48" i="3" s="1"/>
  <c r="G48" i="4" s="1"/>
  <c r="H48" i="4" s="1"/>
  <c r="M48" i="4" s="1"/>
  <c r="G48" i="5" s="1"/>
  <c r="H48" i="5" s="1"/>
  <c r="M48" i="5" s="1"/>
  <c r="G48" i="6" s="1"/>
  <c r="H48" i="6" s="1"/>
  <c r="M48" i="6" s="1"/>
  <c r="G48" i="7" s="1"/>
  <c r="H48" i="7" s="1"/>
  <c r="M48" i="7" s="1"/>
  <c r="G48" i="8" s="1"/>
  <c r="H48" i="8" s="1"/>
  <c r="M48" i="8" s="1"/>
  <c r="I48" i="3"/>
  <c r="I48" i="8"/>
  <c r="H47" i="1"/>
  <c r="I47" i="1"/>
  <c r="I47" i="2"/>
  <c r="I47" i="3"/>
  <c r="I47" i="7"/>
  <c r="I47" i="8"/>
  <c r="H46" i="1"/>
  <c r="I46" i="1"/>
  <c r="M46" i="1"/>
  <c r="G46" i="2" s="1"/>
  <c r="H46" i="2" s="1"/>
  <c r="M46" i="2" s="1"/>
  <c r="G46" i="3" s="1"/>
  <c r="H46" i="3" s="1"/>
  <c r="M46" i="3" s="1"/>
  <c r="G46" i="4" s="1"/>
  <c r="H46" i="4" s="1"/>
  <c r="M46" i="4" s="1"/>
  <c r="G46" i="5" s="1"/>
  <c r="H46" i="5" s="1"/>
  <c r="M46" i="5" s="1"/>
  <c r="G46" i="6" s="1"/>
  <c r="H46" i="6" s="1"/>
  <c r="M46" i="6" s="1"/>
  <c r="G46" i="7" s="1"/>
  <c r="H46" i="7" s="1"/>
  <c r="M46" i="7" s="1"/>
  <c r="G46" i="8" s="1"/>
  <c r="H46" i="8" s="1"/>
  <c r="M46" i="8" s="1"/>
  <c r="I46" i="2"/>
  <c r="I46" i="3"/>
  <c r="I46" i="7"/>
  <c r="I57" i="7" s="1"/>
  <c r="I60" i="7" s="1"/>
  <c r="I61" i="7" s="1"/>
  <c r="I46" i="8"/>
  <c r="H45" i="1"/>
  <c r="M45" i="1" s="1"/>
  <c r="G45" i="2" s="1"/>
  <c r="H45" i="2" s="1"/>
  <c r="M45" i="2" s="1"/>
  <c r="G45" i="3" s="1"/>
  <c r="H45" i="3" s="1"/>
  <c r="I45" i="1"/>
  <c r="I45" i="3"/>
  <c r="I45" i="5"/>
  <c r="I45" i="8"/>
  <c r="H44" i="1"/>
  <c r="M44" i="1" s="1"/>
  <c r="G44" i="2" s="1"/>
  <c r="H44" i="2" s="1"/>
  <c r="M44" i="2" s="1"/>
  <c r="G44" i="3" s="1"/>
  <c r="H44" i="3" s="1"/>
  <c r="M44" i="3" s="1"/>
  <c r="G44" i="4" s="1"/>
  <c r="H44" i="4" s="1"/>
  <c r="M44" i="4" s="1"/>
  <c r="G44" i="5" s="1"/>
  <c r="H44" i="5" s="1"/>
  <c r="M44" i="5" s="1"/>
  <c r="G44" i="6" s="1"/>
  <c r="H44" i="6" s="1"/>
  <c r="M44" i="6" s="1"/>
  <c r="G44" i="7" s="1"/>
  <c r="H44" i="7" s="1"/>
  <c r="M44" i="7" s="1"/>
  <c r="G44" i="8" s="1"/>
  <c r="H44" i="8" s="1"/>
  <c r="M44" i="8" s="1"/>
  <c r="I44" i="1"/>
  <c r="I44" i="2"/>
  <c r="I44" i="3"/>
  <c r="I44" i="6"/>
  <c r="I44" i="7"/>
  <c r="I44" i="8"/>
  <c r="H43" i="8"/>
  <c r="I43" i="8"/>
  <c r="H42" i="1"/>
  <c r="M42" i="1"/>
  <c r="G42" i="2"/>
  <c r="H42" i="2"/>
  <c r="M42" i="2" s="1"/>
  <c r="G42" i="3" s="1"/>
  <c r="H42" i="3" s="1"/>
  <c r="M42" i="3" s="1"/>
  <c r="I42" i="2"/>
  <c r="I42" i="3"/>
  <c r="G42" i="4"/>
  <c r="H42" i="4" s="1"/>
  <c r="M42" i="4" s="1"/>
  <c r="G42" i="5" s="1"/>
  <c r="H42" i="5" s="1"/>
  <c r="M42" i="5" s="1"/>
  <c r="G42" i="6" s="1"/>
  <c r="H42" i="6" s="1"/>
  <c r="M42" i="6" s="1"/>
  <c r="G42" i="7" s="1"/>
  <c r="H42" i="7" s="1"/>
  <c r="M42" i="7" s="1"/>
  <c r="G42" i="8" s="1"/>
  <c r="H42" i="8" s="1"/>
  <c r="M42" i="8" s="1"/>
  <c r="I42" i="8"/>
  <c r="H41" i="6"/>
  <c r="M41" i="6"/>
  <c r="G41" i="7"/>
  <c r="H41" i="7" s="1"/>
  <c r="M41" i="7" s="1"/>
  <c r="I41" i="7"/>
  <c r="G41" i="8"/>
  <c r="H41" i="8" s="1"/>
  <c r="M41" i="8" s="1"/>
  <c r="I41" i="8"/>
  <c r="H40" i="1"/>
  <c r="I40" i="1"/>
  <c r="M40" i="1"/>
  <c r="G40" i="2"/>
  <c r="H40" i="2" s="1"/>
  <c r="M40" i="2" s="1"/>
  <c r="G40" i="3" s="1"/>
  <c r="H40" i="3" s="1"/>
  <c r="M40" i="3" s="1"/>
  <c r="G40" i="4" s="1"/>
  <c r="H40" i="4" s="1"/>
  <c r="I40" i="2"/>
  <c r="I40" i="3"/>
  <c r="I40" i="4"/>
  <c r="M40" i="4"/>
  <c r="G40" i="5" s="1"/>
  <c r="H40" i="5" s="1"/>
  <c r="M40" i="5" s="1"/>
  <c r="I40" i="5"/>
  <c r="G40" i="6"/>
  <c r="H40" i="6" s="1"/>
  <c r="M40" i="6" s="1"/>
  <c r="G40" i="7" s="1"/>
  <c r="H40" i="7" s="1"/>
  <c r="M40" i="7" s="1"/>
  <c r="G40" i="8" s="1"/>
  <c r="H40" i="8" s="1"/>
  <c r="M40" i="8" s="1"/>
  <c r="I40" i="7"/>
  <c r="I40" i="8"/>
  <c r="H39" i="8"/>
  <c r="M39" i="8" s="1"/>
  <c r="H38" i="1"/>
  <c r="I38" i="1"/>
  <c r="I38" i="2"/>
  <c r="I38" i="3"/>
  <c r="I38" i="7"/>
  <c r="H37" i="1"/>
  <c r="M37" i="1" s="1"/>
  <c r="G37" i="2" s="1"/>
  <c r="H37" i="2" s="1"/>
  <c r="M37" i="2" s="1"/>
  <c r="I37" i="1"/>
  <c r="I37" i="2"/>
  <c r="G37" i="3"/>
  <c r="H37" i="3" s="1"/>
  <c r="M37" i="3" s="1"/>
  <c r="G37" i="4" s="1"/>
  <c r="I37" i="3"/>
  <c r="H37" i="4"/>
  <c r="M37" i="4" s="1"/>
  <c r="G37" i="5" s="1"/>
  <c r="H37" i="5" s="1"/>
  <c r="M37" i="5" s="1"/>
  <c r="G37" i="6" s="1"/>
  <c r="H37" i="6" s="1"/>
  <c r="M37" i="6" s="1"/>
  <c r="G37" i="7"/>
  <c r="H37" i="7" s="1"/>
  <c r="M37" i="7" s="1"/>
  <c r="G37" i="8" s="1"/>
  <c r="H37" i="8" s="1"/>
  <c r="M37" i="8" s="1"/>
  <c r="I37" i="8"/>
  <c r="H36" i="1"/>
  <c r="M36" i="1"/>
  <c r="G36" i="2" s="1"/>
  <c r="H36" i="2" s="1"/>
  <c r="M36" i="2" s="1"/>
  <c r="G36" i="3" s="1"/>
  <c r="H36" i="3" s="1"/>
  <c r="M36" i="3" s="1"/>
  <c r="G36" i="4" s="1"/>
  <c r="H36" i="4" s="1"/>
  <c r="M36" i="4" s="1"/>
  <c r="G36" i="5" s="1"/>
  <c r="H36" i="5" s="1"/>
  <c r="M36" i="5" s="1"/>
  <c r="G36" i="6" s="1"/>
  <c r="H36" i="6" s="1"/>
  <c r="M36" i="6" s="1"/>
  <c r="G36" i="7" s="1"/>
  <c r="H36" i="7" s="1"/>
  <c r="M36" i="7" s="1"/>
  <c r="G36" i="8" s="1"/>
  <c r="H36" i="8" s="1"/>
  <c r="M36" i="8" s="1"/>
  <c r="I36" i="2"/>
  <c r="I36" i="3"/>
  <c r="I36" i="4"/>
  <c r="I36" i="7"/>
  <c r="I36" i="8"/>
  <c r="H35" i="1"/>
  <c r="M35" i="1" s="1"/>
  <c r="G35" i="2" s="1"/>
  <c r="H35" i="2" s="1"/>
  <c r="M35" i="2" s="1"/>
  <c r="G35" i="3" s="1"/>
  <c r="H35" i="3" s="1"/>
  <c r="M35" i="3" s="1"/>
  <c r="G35" i="4" s="1"/>
  <c r="H35" i="4" s="1"/>
  <c r="M35" i="4" s="1"/>
  <c r="G35" i="5" s="1"/>
  <c r="H35" i="5" s="1"/>
  <c r="M35" i="5" s="1"/>
  <c r="G35" i="6" s="1"/>
  <c r="H35" i="6" s="1"/>
  <c r="M35" i="6" s="1"/>
  <c r="G35" i="7" s="1"/>
  <c r="H35" i="7" s="1"/>
  <c r="M35" i="7" s="1"/>
  <c r="G35" i="8" s="1"/>
  <c r="H35" i="8" s="1"/>
  <c r="M35" i="8" s="1"/>
  <c r="I35" i="3"/>
  <c r="I35" i="8"/>
  <c r="H34" i="1"/>
  <c r="M34" i="1" s="1"/>
  <c r="G34" i="2" s="1"/>
  <c r="H34" i="2" s="1"/>
  <c r="M34" i="2" s="1"/>
  <c r="G34" i="3" s="1"/>
  <c r="H34" i="3" s="1"/>
  <c r="M34" i="3" s="1"/>
  <c r="G34" i="4" s="1"/>
  <c r="H34" i="4" s="1"/>
  <c r="M34" i="4" s="1"/>
  <c r="G34" i="5" s="1"/>
  <c r="H34" i="5" s="1"/>
  <c r="M34" i="5" s="1"/>
  <c r="G34" i="6" s="1"/>
  <c r="H34" i="6" s="1"/>
  <c r="M34" i="6" s="1"/>
  <c r="G34" i="7" s="1"/>
  <c r="H34" i="7" s="1"/>
  <c r="M34" i="7" s="1"/>
  <c r="G34" i="8" s="1"/>
  <c r="H34" i="8" s="1"/>
  <c r="M34" i="8" s="1"/>
  <c r="I34" i="1"/>
  <c r="I34" i="2"/>
  <c r="I34" i="3"/>
  <c r="I34" i="8"/>
  <c r="H33" i="1"/>
  <c r="I33" i="1"/>
  <c r="M33" i="1"/>
  <c r="G33" i="2"/>
  <c r="H33" i="2" s="1"/>
  <c r="M33" i="2" s="1"/>
  <c r="G33" i="3" s="1"/>
  <c r="H33" i="3" s="1"/>
  <c r="M33" i="3" s="1"/>
  <c r="G33" i="4" s="1"/>
  <c r="H33" i="4" s="1"/>
  <c r="M33" i="4" s="1"/>
  <c r="G33" i="5" s="1"/>
  <c r="H33" i="5" s="1"/>
  <c r="M33" i="5" s="1"/>
  <c r="G33" i="6" s="1"/>
  <c r="H33" i="6" s="1"/>
  <c r="M33" i="6" s="1"/>
  <c r="G33" i="7" s="1"/>
  <c r="H33" i="7" s="1"/>
  <c r="M33" i="7" s="1"/>
  <c r="G33" i="8" s="1"/>
  <c r="H33" i="8" s="1"/>
  <c r="M33" i="8" s="1"/>
  <c r="I33" i="2"/>
  <c r="I33" i="3"/>
  <c r="I33" i="7"/>
  <c r="I33" i="8"/>
  <c r="H32" i="1"/>
  <c r="I32" i="1"/>
  <c r="I32" i="3"/>
  <c r="I32" i="8"/>
  <c r="H31" i="1"/>
  <c r="M31" i="1" s="1"/>
  <c r="G31" i="2" s="1"/>
  <c r="H31" i="2" s="1"/>
  <c r="M31" i="2" s="1"/>
  <c r="G31" i="3" s="1"/>
  <c r="H31" i="3" s="1"/>
  <c r="M31" i="3" s="1"/>
  <c r="G31" i="4" s="1"/>
  <c r="H31" i="4" s="1"/>
  <c r="M31" i="4" s="1"/>
  <c r="G31" i="5" s="1"/>
  <c r="H31" i="5" s="1"/>
  <c r="M31" i="5" s="1"/>
  <c r="G31" i="6" s="1"/>
  <c r="H31" i="6" s="1"/>
  <c r="M31" i="6" s="1"/>
  <c r="G31" i="7" s="1"/>
  <c r="H31" i="7" s="1"/>
  <c r="M31" i="7" s="1"/>
  <c r="G31" i="8" s="1"/>
  <c r="H31" i="8" s="1"/>
  <c r="I31" i="1"/>
  <c r="I31" i="3"/>
  <c r="I31" i="7"/>
  <c r="I31" i="8"/>
  <c r="H30" i="1"/>
  <c r="M30" i="1" s="1"/>
  <c r="G30" i="2" s="1"/>
  <c r="I30" i="1"/>
  <c r="H30" i="2"/>
  <c r="M30" i="2" s="1"/>
  <c r="G30" i="3" s="1"/>
  <c r="H30" i="3" s="1"/>
  <c r="I30" i="3"/>
  <c r="I30" i="7"/>
  <c r="G29" i="3"/>
  <c r="H29" i="3" s="1"/>
  <c r="M29" i="3" s="1"/>
  <c r="G29" i="4" s="1"/>
  <c r="H29" i="4"/>
  <c r="M29" i="4" s="1"/>
  <c r="G29" i="5" s="1"/>
  <c r="H29" i="5" s="1"/>
  <c r="M29" i="5"/>
  <c r="G29" i="6" s="1"/>
  <c r="H29" i="6" s="1"/>
  <c r="M29" i="6" s="1"/>
  <c r="G29" i="7" s="1"/>
  <c r="H29" i="7" s="1"/>
  <c r="M29" i="7" s="1"/>
  <c r="G29" i="8" s="1"/>
  <c r="H29" i="8" s="1"/>
  <c r="M29" i="8" s="1"/>
  <c r="H28" i="1"/>
  <c r="M28" i="1" s="1"/>
  <c r="I28" i="1"/>
  <c r="G28" i="2"/>
  <c r="H28" i="2" s="1"/>
  <c r="M28" i="2" s="1"/>
  <c r="G28" i="3" s="1"/>
  <c r="I28" i="2"/>
  <c r="H28" i="3"/>
  <c r="M28" i="3" s="1"/>
  <c r="G28" i="4" s="1"/>
  <c r="H28" i="4" s="1"/>
  <c r="M28" i="4" s="1"/>
  <c r="G28" i="5" s="1"/>
  <c r="H28" i="5" s="1"/>
  <c r="M28" i="5" s="1"/>
  <c r="G28" i="6" s="1"/>
  <c r="H28" i="6" s="1"/>
  <c r="M28" i="6" s="1"/>
  <c r="G28" i="7" s="1"/>
  <c r="H28" i="7" s="1"/>
  <c r="M28" i="7" s="1"/>
  <c r="G28" i="8" s="1"/>
  <c r="H28" i="8" s="1"/>
  <c r="M28" i="8" s="1"/>
  <c r="I28" i="3"/>
  <c r="I28" i="7"/>
  <c r="H27" i="1"/>
  <c r="I27" i="1"/>
  <c r="M27" i="1"/>
  <c r="G27" i="2"/>
  <c r="H27" i="2" s="1"/>
  <c r="M27" i="2" s="1"/>
  <c r="G27" i="3" s="1"/>
  <c r="H27" i="3" s="1"/>
  <c r="M27" i="3" s="1"/>
  <c r="G27" i="4" s="1"/>
  <c r="H27" i="4" s="1"/>
  <c r="M27" i="4" s="1"/>
  <c r="G27" i="5" s="1"/>
  <c r="H27" i="5" s="1"/>
  <c r="M27" i="5" s="1"/>
  <c r="G27" i="6" s="1"/>
  <c r="H27" i="6" s="1"/>
  <c r="M27" i="6" s="1"/>
  <c r="G27" i="7" s="1"/>
  <c r="H27" i="7" s="1"/>
  <c r="M27" i="7" s="1"/>
  <c r="G27" i="8" s="1"/>
  <c r="H27" i="8" s="1"/>
  <c r="M27" i="8" s="1"/>
  <c r="I27" i="2"/>
  <c r="I27" i="3"/>
  <c r="I27" i="8"/>
  <c r="H26" i="1"/>
  <c r="M26" i="1"/>
  <c r="G26" i="2" s="1"/>
  <c r="H26" i="2" s="1"/>
  <c r="I26" i="2"/>
  <c r="M26" i="2"/>
  <c r="G26" i="3" s="1"/>
  <c r="H26" i="3" s="1"/>
  <c r="M26" i="3" s="1"/>
  <c r="G26" i="4" s="1"/>
  <c r="H26" i="4" s="1"/>
  <c r="M26" i="4" s="1"/>
  <c r="G26" i="5" s="1"/>
  <c r="H26" i="5" s="1"/>
  <c r="M26" i="5" s="1"/>
  <c r="G26" i="6" s="1"/>
  <c r="H26" i="6" s="1"/>
  <c r="M26" i="6" s="1"/>
  <c r="G26" i="7" s="1"/>
  <c r="H26" i="7" s="1"/>
  <c r="M26" i="7" s="1"/>
  <c r="G26" i="8" s="1"/>
  <c r="H26" i="8" s="1"/>
  <c r="M26" i="8" s="1"/>
  <c r="I26" i="3"/>
  <c r="I26" i="8"/>
  <c r="H25" i="1"/>
  <c r="M25" i="1"/>
  <c r="G25" i="2"/>
  <c r="H25" i="2" s="1"/>
  <c r="M25" i="2" s="1"/>
  <c r="G25" i="3" s="1"/>
  <c r="H25" i="3" s="1"/>
  <c r="M25" i="3" s="1"/>
  <c r="G25" i="4" s="1"/>
  <c r="H25" i="4" s="1"/>
  <c r="M25" i="4" s="1"/>
  <c r="G25" i="5" s="1"/>
  <c r="H25" i="5" s="1"/>
  <c r="M25" i="5" s="1"/>
  <c r="G25" i="6" s="1"/>
  <c r="H25" i="6" s="1"/>
  <c r="M25" i="6" s="1"/>
  <c r="G25" i="7" s="1"/>
  <c r="H25" i="7" s="1"/>
  <c r="M25" i="7" s="1"/>
  <c r="G25" i="8" s="1"/>
  <c r="H25" i="8" s="1"/>
  <c r="M25" i="8" s="1"/>
  <c r="I25" i="3"/>
  <c r="I25" i="7"/>
  <c r="I25" i="8"/>
  <c r="H24" i="1"/>
  <c r="I24" i="1"/>
  <c r="M24" i="1" s="1"/>
  <c r="G24" i="2" s="1"/>
  <c r="H24" i="2" s="1"/>
  <c r="M24" i="2" s="1"/>
  <c r="G24" i="3" s="1"/>
  <c r="H24" i="3" s="1"/>
  <c r="M24" i="3" s="1"/>
  <c r="G24" i="4" s="1"/>
  <c r="H24" i="4" s="1"/>
  <c r="M24" i="4" s="1"/>
  <c r="G24" i="5" s="1"/>
  <c r="H24" i="5" s="1"/>
  <c r="M24" i="5" s="1"/>
  <c r="G24" i="6" s="1"/>
  <c r="H24" i="6" s="1"/>
  <c r="M24" i="6" s="1"/>
  <c r="G24" i="7" s="1"/>
  <c r="H24" i="7" s="1"/>
  <c r="M24" i="7" s="1"/>
  <c r="G24" i="8" s="1"/>
  <c r="H24" i="8" s="1"/>
  <c r="M24" i="8" s="1"/>
  <c r="I24" i="2"/>
  <c r="I24" i="3"/>
  <c r="I24" i="8"/>
  <c r="H23" i="1"/>
  <c r="I23" i="1"/>
  <c r="I23" i="2"/>
  <c r="I23" i="3"/>
  <c r="I23" i="8"/>
  <c r="H22" i="3"/>
  <c r="M22" i="3" s="1"/>
  <c r="I22" i="3"/>
  <c r="G22" i="4"/>
  <c r="H22" i="4" s="1"/>
  <c r="M22" i="4" s="1"/>
  <c r="G22" i="5" s="1"/>
  <c r="H22" i="5" s="1"/>
  <c r="M22" i="5" s="1"/>
  <c r="G22" i="6" s="1"/>
  <c r="H22" i="6" s="1"/>
  <c r="M22" i="6" s="1"/>
  <c r="G22" i="7" s="1"/>
  <c r="H22" i="7" s="1"/>
  <c r="M22" i="7" s="1"/>
  <c r="G22" i="8" s="1"/>
  <c r="H22" i="8" s="1"/>
  <c r="M22" i="8" s="1"/>
  <c r="I22" i="6"/>
  <c r="I22" i="8"/>
  <c r="H21" i="1"/>
  <c r="M21" i="1"/>
  <c r="G21" i="2" s="1"/>
  <c r="H21" i="2" s="1"/>
  <c r="M21" i="2" s="1"/>
  <c r="G21" i="3" s="1"/>
  <c r="H21" i="3" s="1"/>
  <c r="M21" i="3" s="1"/>
  <c r="G21" i="4" s="1"/>
  <c r="H21" i="4" s="1"/>
  <c r="M21" i="4" s="1"/>
  <c r="G21" i="5" s="1"/>
  <c r="H21" i="5" s="1"/>
  <c r="M21" i="5" s="1"/>
  <c r="G21" i="6" s="1"/>
  <c r="H21" i="6" s="1"/>
  <c r="M21" i="6" s="1"/>
  <c r="G21" i="7" s="1"/>
  <c r="H21" i="7" s="1"/>
  <c r="M21" i="7" s="1"/>
  <c r="G21" i="8" s="1"/>
  <c r="H21" i="8" s="1"/>
  <c r="M21" i="8" s="1"/>
  <c r="I21" i="2"/>
  <c r="I21" i="3"/>
  <c r="H20" i="8"/>
  <c r="M20" i="8" s="1"/>
  <c r="G20" i="10" s="1"/>
  <c r="H20" i="10" s="1"/>
  <c r="M20" i="10" s="1"/>
  <c r="H19" i="1"/>
  <c r="M19" i="1" s="1"/>
  <c r="G19" i="2" s="1"/>
  <c r="H19" i="2" s="1"/>
  <c r="M19" i="2" s="1"/>
  <c r="G19" i="3" s="1"/>
  <c r="H19" i="3" s="1"/>
  <c r="M19" i="3" s="1"/>
  <c r="G19" i="4" s="1"/>
  <c r="H19" i="4" s="1"/>
  <c r="M19" i="4" s="1"/>
  <c r="G19" i="5" s="1"/>
  <c r="H19" i="5" s="1"/>
  <c r="M19" i="5" s="1"/>
  <c r="G19" i="6" s="1"/>
  <c r="H19" i="6" s="1"/>
  <c r="M19" i="6" s="1"/>
  <c r="G19" i="7" s="1"/>
  <c r="H19" i="7" s="1"/>
  <c r="M19" i="7" s="1"/>
  <c r="G19" i="8" s="1"/>
  <c r="H19" i="8" s="1"/>
  <c r="M19" i="8" s="1"/>
  <c r="I19" i="2"/>
  <c r="I19" i="8"/>
  <c r="H18" i="1"/>
  <c r="M18" i="1" s="1"/>
  <c r="G18" i="2" s="1"/>
  <c r="H18" i="2" s="1"/>
  <c r="M18" i="2" s="1"/>
  <c r="G18" i="3" s="1"/>
  <c r="H18" i="3" s="1"/>
  <c r="M18" i="3" s="1"/>
  <c r="G18" i="4" s="1"/>
  <c r="H18" i="4" s="1"/>
  <c r="M18" i="4" s="1"/>
  <c r="G18" i="5" s="1"/>
  <c r="H18" i="5" s="1"/>
  <c r="M18" i="5" s="1"/>
  <c r="G18" i="6" s="1"/>
  <c r="H18" i="6" s="1"/>
  <c r="M18" i="6" s="1"/>
  <c r="G18" i="7" s="1"/>
  <c r="H18" i="7" s="1"/>
  <c r="M18" i="7" s="1"/>
  <c r="G18" i="8" s="1"/>
  <c r="H18" i="8" s="1"/>
  <c r="M18" i="8" s="1"/>
  <c r="I18" i="1"/>
  <c r="I18" i="3"/>
  <c r="I18" i="8"/>
  <c r="H17" i="1"/>
  <c r="M17" i="1" s="1"/>
  <c r="I17" i="1"/>
  <c r="G17" i="2"/>
  <c r="H17" i="2"/>
  <c r="M17" i="2" s="1"/>
  <c r="G17" i="3" s="1"/>
  <c r="H17" i="3" s="1"/>
  <c r="M17" i="3" s="1"/>
  <c r="G17" i="4" s="1"/>
  <c r="H17" i="4" s="1"/>
  <c r="M17" i="4" s="1"/>
  <c r="G17" i="5" s="1"/>
  <c r="H17" i="5" s="1"/>
  <c r="M17" i="5" s="1"/>
  <c r="G17" i="6" s="1"/>
  <c r="H17" i="6" s="1"/>
  <c r="M17" i="6" s="1"/>
  <c r="G17" i="7" s="1"/>
  <c r="H17" i="7" s="1"/>
  <c r="M17" i="7" s="1"/>
  <c r="G17" i="8" s="1"/>
  <c r="H17" i="8" s="1"/>
  <c r="M17" i="8" s="1"/>
  <c r="I17" i="2"/>
  <c r="I17" i="4"/>
  <c r="I17" i="8"/>
  <c r="H16" i="1"/>
  <c r="M16" i="1" s="1"/>
  <c r="G16" i="2" s="1"/>
  <c r="I16" i="1"/>
  <c r="H16" i="2"/>
  <c r="M16" i="2" s="1"/>
  <c r="G16" i="3" s="1"/>
  <c r="H16" i="3" s="1"/>
  <c r="M16" i="3" s="1"/>
  <c r="G16" i="4" s="1"/>
  <c r="H16" i="4" s="1"/>
  <c r="M16" i="4" s="1"/>
  <c r="G16" i="5" s="1"/>
  <c r="H16" i="5" s="1"/>
  <c r="M16" i="5" s="1"/>
  <c r="G16" i="6" s="1"/>
  <c r="H16" i="6" s="1"/>
  <c r="M16" i="6" s="1"/>
  <c r="G16" i="7" s="1"/>
  <c r="H16" i="7" s="1"/>
  <c r="M16" i="7" s="1"/>
  <c r="G16" i="8" s="1"/>
  <c r="H16" i="8" s="1"/>
  <c r="M16" i="8" s="1"/>
  <c r="I16" i="2"/>
  <c r="I16" i="3"/>
  <c r="I16" i="8"/>
  <c r="H15" i="5"/>
  <c r="I15" i="5"/>
  <c r="M15" i="5"/>
  <c r="G15" i="6"/>
  <c r="H15" i="6" s="1"/>
  <c r="M15" i="6" s="1"/>
  <c r="G15" i="7" s="1"/>
  <c r="H15" i="7" s="1"/>
  <c r="M15" i="7" s="1"/>
  <c r="G15" i="8" s="1"/>
  <c r="H15" i="8" s="1"/>
  <c r="M15" i="8" s="1"/>
  <c r="I15" i="7"/>
  <c r="H14" i="4"/>
  <c r="M14" i="4" s="1"/>
  <c r="G14" i="5" s="1"/>
  <c r="H14" i="5" s="1"/>
  <c r="M14" i="5" s="1"/>
  <c r="G14" i="6" s="1"/>
  <c r="H14" i="6" s="1"/>
  <c r="M14" i="6" s="1"/>
  <c r="G14" i="7" s="1"/>
  <c r="H14" i="7" s="1"/>
  <c r="M14" i="7" s="1"/>
  <c r="G14" i="8" s="1"/>
  <c r="H14" i="8" s="1"/>
  <c r="M14" i="8" s="1"/>
  <c r="I14" i="7"/>
  <c r="H13" i="1"/>
  <c r="I13" i="1"/>
  <c r="M13" i="1"/>
  <c r="G13" i="2"/>
  <c r="H13" i="2" s="1"/>
  <c r="M13" i="2" s="1"/>
  <c r="G13" i="3" s="1"/>
  <c r="H13" i="3"/>
  <c r="M13" i="3" s="1"/>
  <c r="G13" i="4" s="1"/>
  <c r="H13" i="4" s="1"/>
  <c r="M13" i="4" s="1"/>
  <c r="G13" i="5" s="1"/>
  <c r="H13" i="5" s="1"/>
  <c r="M13" i="5" s="1"/>
  <c r="G13" i="6" s="1"/>
  <c r="H13" i="6" s="1"/>
  <c r="M13" i="6" s="1"/>
  <c r="G13" i="7" s="1"/>
  <c r="H13" i="7" s="1"/>
  <c r="M13" i="7" s="1"/>
  <c r="G13" i="8" s="1"/>
  <c r="H13" i="8" s="1"/>
  <c r="M13" i="8" s="1"/>
  <c r="I13" i="3"/>
  <c r="I13" i="8"/>
  <c r="I57" i="8" s="1"/>
  <c r="I60" i="8" s="1"/>
  <c r="I41" i="5"/>
  <c r="I57" i="5" s="1"/>
  <c r="H39" i="1"/>
  <c r="I39" i="1"/>
  <c r="M39" i="1" s="1"/>
  <c r="G39" i="2" s="1"/>
  <c r="H39" i="2" s="1"/>
  <c r="M39" i="2" s="1"/>
  <c r="G39" i="3" s="1"/>
  <c r="H39" i="3" s="1"/>
  <c r="M39" i="3" s="1"/>
  <c r="G39" i="4" s="1"/>
  <c r="H39" i="4" s="1"/>
  <c r="M39" i="4" s="1"/>
  <c r="G39" i="5" s="1"/>
  <c r="H39" i="5" s="1"/>
  <c r="M39" i="5" s="1"/>
  <c r="G39" i="6" s="1"/>
  <c r="H39" i="6" s="1"/>
  <c r="M39" i="6" s="1"/>
  <c r="G39" i="7" s="1"/>
  <c r="H39" i="7" s="1"/>
  <c r="M39" i="7" s="1"/>
  <c r="I39" i="3"/>
  <c r="I12" i="3"/>
  <c r="I14" i="3"/>
  <c r="I15" i="3"/>
  <c r="I20" i="3"/>
  <c r="I56" i="3"/>
  <c r="I43" i="3"/>
  <c r="I57" i="3"/>
  <c r="I14" i="2"/>
  <c r="I57" i="2" s="1"/>
  <c r="I15" i="2"/>
  <c r="I20" i="2"/>
  <c r="I41" i="2"/>
  <c r="I56" i="2"/>
  <c r="I43" i="2"/>
  <c r="I61" i="8"/>
  <c r="I64" i="8" s="1"/>
  <c r="M64" i="8" s="1"/>
  <c r="I43" i="6"/>
  <c r="I57" i="6"/>
  <c r="I60" i="6" s="1"/>
  <c r="I61" i="6" s="1"/>
  <c r="I64" i="6" s="1"/>
  <c r="M64" i="6" s="1"/>
  <c r="F57" i="9"/>
  <c r="E57" i="9"/>
  <c r="F57" i="8"/>
  <c r="E57" i="8"/>
  <c r="I64" i="7"/>
  <c r="M64" i="7" s="1"/>
  <c r="F57" i="7"/>
  <c r="E57" i="7"/>
  <c r="F57" i="6"/>
  <c r="E57" i="6"/>
  <c r="I61" i="5"/>
  <c r="F57" i="3"/>
  <c r="H12" i="1"/>
  <c r="I12" i="1"/>
  <c r="H14" i="1"/>
  <c r="M14" i="1" s="1"/>
  <c r="G14" i="2" s="1"/>
  <c r="I14" i="1"/>
  <c r="H15" i="1"/>
  <c r="I15" i="1"/>
  <c r="H20" i="1"/>
  <c r="I20" i="1"/>
  <c r="H41" i="1"/>
  <c r="M41" i="1" s="1"/>
  <c r="G41" i="2" s="1"/>
  <c r="H41" i="2" s="1"/>
  <c r="M41" i="2" s="1"/>
  <c r="G41" i="3" s="1"/>
  <c r="H41" i="3" s="1"/>
  <c r="M41" i="3" s="1"/>
  <c r="G41" i="4" s="1"/>
  <c r="H41" i="4" s="1"/>
  <c r="M41" i="4" s="1"/>
  <c r="G41" i="5" s="1"/>
  <c r="H41" i="5" s="1"/>
  <c r="M41" i="5" s="1"/>
  <c r="H43" i="1"/>
  <c r="I43" i="1"/>
  <c r="M43" i="1"/>
  <c r="G43" i="2"/>
  <c r="H43" i="2" s="1"/>
  <c r="M43" i="2" s="1"/>
  <c r="G43" i="3" s="1"/>
  <c r="H43" i="3"/>
  <c r="M43" i="3" s="1"/>
  <c r="G43" i="4" s="1"/>
  <c r="H43" i="4" s="1"/>
  <c r="M43" i="4" s="1"/>
  <c r="G43" i="5" s="1"/>
  <c r="H43" i="5" s="1"/>
  <c r="I43" i="4"/>
  <c r="I57" i="4" s="1"/>
  <c r="M43" i="5"/>
  <c r="G43" i="6" s="1"/>
  <c r="H43" i="6" s="1"/>
  <c r="M43" i="6" s="1"/>
  <c r="G43" i="7" s="1"/>
  <c r="H43" i="7" s="1"/>
  <c r="M43" i="7" s="1"/>
  <c r="I60" i="4"/>
  <c r="I62" i="4" s="1"/>
  <c r="I65" i="4" s="1"/>
  <c r="M65" i="4" s="1"/>
  <c r="H56" i="1"/>
  <c r="M56" i="1" s="1"/>
  <c r="G56" i="2" s="1"/>
  <c r="H56" i="2" s="1"/>
  <c r="M56" i="2"/>
  <c r="G56" i="3" s="1"/>
  <c r="H56" i="3" s="1"/>
  <c r="M56" i="3" s="1"/>
  <c r="G56" i="4" s="1"/>
  <c r="H56" i="4" s="1"/>
  <c r="M56" i="4" s="1"/>
  <c r="G56" i="5" s="1"/>
  <c r="H56" i="5" s="1"/>
  <c r="M56" i="5" s="1"/>
  <c r="F57" i="5"/>
  <c r="E57" i="5"/>
  <c r="F57" i="4"/>
  <c r="E57" i="4"/>
  <c r="I61" i="3"/>
  <c r="E57" i="3"/>
  <c r="I22" i="1"/>
  <c r="D57" i="1"/>
  <c r="F57" i="1"/>
  <c r="G29" i="2"/>
  <c r="H29" i="2"/>
  <c r="F57" i="2"/>
  <c r="E57" i="2"/>
  <c r="H22" i="1"/>
  <c r="M22" i="1"/>
  <c r="G22" i="2" s="1"/>
  <c r="H22" i="2" s="1"/>
  <c r="M22" i="2" s="1"/>
  <c r="H29" i="1"/>
  <c r="E57" i="1"/>
  <c r="G57" i="1"/>
  <c r="H14" i="2"/>
  <c r="M14" i="2" s="1"/>
  <c r="G14" i="3" s="1"/>
  <c r="H14" i="3" s="1"/>
  <c r="M14" i="3"/>
  <c r="I57" i="1"/>
  <c r="G15" i="10" l="1"/>
  <c r="H15" i="10" s="1"/>
  <c r="M15" i="10" s="1"/>
  <c r="G15" i="9"/>
  <c r="H15" i="9" s="1"/>
  <c r="M15" i="9" s="1"/>
  <c r="G26" i="10"/>
  <c r="H26" i="10" s="1"/>
  <c r="M26" i="10" s="1"/>
  <c r="G26" i="9"/>
  <c r="H26" i="9" s="1"/>
  <c r="M26" i="9" s="1"/>
  <c r="G17" i="10"/>
  <c r="H17" i="10" s="1"/>
  <c r="M17" i="10" s="1"/>
  <c r="G17" i="9"/>
  <c r="H17" i="9" s="1"/>
  <c r="M17" i="9" s="1"/>
  <c r="G28" i="10"/>
  <c r="H28" i="10" s="1"/>
  <c r="M28" i="10" s="1"/>
  <c r="G28" i="9"/>
  <c r="H28" i="9" s="1"/>
  <c r="M28" i="9" s="1"/>
  <c r="G13" i="10"/>
  <c r="H13" i="10" s="1"/>
  <c r="M13" i="10" s="1"/>
  <c r="G13" i="9"/>
  <c r="H13" i="9" s="1"/>
  <c r="M13" i="9" s="1"/>
  <c r="G18" i="10"/>
  <c r="H18" i="10" s="1"/>
  <c r="M18" i="10" s="1"/>
  <c r="G18" i="9"/>
  <c r="H18" i="9" s="1"/>
  <c r="M18" i="9" s="1"/>
  <c r="I63" i="10"/>
  <c r="I63" i="9"/>
  <c r="I63" i="8"/>
  <c r="I63" i="7"/>
  <c r="G14" i="10"/>
  <c r="H14" i="10" s="1"/>
  <c r="M14" i="10" s="1"/>
  <c r="G14" i="9"/>
  <c r="H14" i="9" s="1"/>
  <c r="M14" i="9" s="1"/>
  <c r="G24" i="10"/>
  <c r="H24" i="10" s="1"/>
  <c r="M24" i="10" s="1"/>
  <c r="G24" i="9"/>
  <c r="H24" i="9" s="1"/>
  <c r="M24" i="9" s="1"/>
  <c r="G29" i="10"/>
  <c r="H29" i="10" s="1"/>
  <c r="M29" i="10" s="1"/>
  <c r="G29" i="9"/>
  <c r="H29" i="9" s="1"/>
  <c r="M29" i="9" s="1"/>
  <c r="G16" i="10"/>
  <c r="H16" i="10" s="1"/>
  <c r="M16" i="10" s="1"/>
  <c r="G16" i="9"/>
  <c r="H16" i="9" s="1"/>
  <c r="M16" i="9" s="1"/>
  <c r="G19" i="10"/>
  <c r="H19" i="10" s="1"/>
  <c r="M19" i="10" s="1"/>
  <c r="G19" i="9"/>
  <c r="H19" i="9" s="1"/>
  <c r="M19" i="9" s="1"/>
  <c r="G21" i="10"/>
  <c r="H21" i="10" s="1"/>
  <c r="M21" i="10" s="1"/>
  <c r="G21" i="9"/>
  <c r="H21" i="9" s="1"/>
  <c r="M21" i="9" s="1"/>
  <c r="G25" i="10"/>
  <c r="H25" i="10" s="1"/>
  <c r="M25" i="10" s="1"/>
  <c r="G25" i="9"/>
  <c r="H25" i="9" s="1"/>
  <c r="M25" i="9" s="1"/>
  <c r="G27" i="10"/>
  <c r="H27" i="10" s="1"/>
  <c r="M27" i="10" s="1"/>
  <c r="G27" i="9"/>
  <c r="H27" i="9" s="1"/>
  <c r="M27" i="9" s="1"/>
  <c r="G36" i="10"/>
  <c r="H36" i="10" s="1"/>
  <c r="M36" i="10" s="1"/>
  <c r="G36" i="9"/>
  <c r="H36" i="9" s="1"/>
  <c r="M36" i="9" s="1"/>
  <c r="G46" i="10"/>
  <c r="H46" i="10" s="1"/>
  <c r="M46" i="10" s="1"/>
  <c r="G46" i="9"/>
  <c r="H46" i="9" s="1"/>
  <c r="M46" i="9" s="1"/>
  <c r="G52" i="10"/>
  <c r="H52" i="10" s="1"/>
  <c r="M52" i="10" s="1"/>
  <c r="G52" i="9"/>
  <c r="H52" i="9" s="1"/>
  <c r="M52" i="9" s="1"/>
  <c r="G54" i="10"/>
  <c r="H54" i="10" s="1"/>
  <c r="M54" i="10" s="1"/>
  <c r="G54" i="9"/>
  <c r="H54" i="9" s="1"/>
  <c r="M54" i="9" s="1"/>
  <c r="M12" i="1"/>
  <c r="H57" i="1"/>
  <c r="Q24" i="1" s="1"/>
  <c r="G50" i="10"/>
  <c r="H50" i="10" s="1"/>
  <c r="M50" i="10" s="1"/>
  <c r="G50" i="9"/>
  <c r="H50" i="9" s="1"/>
  <c r="M50" i="9" s="1"/>
  <c r="G53" i="10"/>
  <c r="H53" i="10" s="1"/>
  <c r="M53" i="10" s="1"/>
  <c r="G53" i="9"/>
  <c r="H53" i="9" s="1"/>
  <c r="M53" i="9" s="1"/>
  <c r="I60" i="3"/>
  <c r="I62" i="3" s="1"/>
  <c r="I65" i="3" s="1"/>
  <c r="M65" i="3" s="1"/>
  <c r="G22" i="10"/>
  <c r="H22" i="10" s="1"/>
  <c r="M22" i="10" s="1"/>
  <c r="G22" i="9"/>
  <c r="H22" i="9" s="1"/>
  <c r="M22" i="9" s="1"/>
  <c r="I60" i="1"/>
  <c r="I61" i="1" s="1"/>
  <c r="I64" i="1" s="1"/>
  <c r="M64" i="1" s="1"/>
  <c r="I60" i="2"/>
  <c r="I61" i="2" s="1"/>
  <c r="I64" i="2" s="1"/>
  <c r="M64" i="2" s="1"/>
  <c r="I60" i="5"/>
  <c r="I62" i="5" s="1"/>
  <c r="I65" i="5" s="1"/>
  <c r="M65" i="5" s="1"/>
  <c r="I63" i="6" s="1"/>
  <c r="M31" i="8"/>
  <c r="G35" i="10"/>
  <c r="H35" i="10" s="1"/>
  <c r="M35" i="10" s="1"/>
  <c r="G35" i="9"/>
  <c r="H35" i="9" s="1"/>
  <c r="M35" i="9" s="1"/>
  <c r="G44" i="10"/>
  <c r="H44" i="10" s="1"/>
  <c r="M44" i="10" s="1"/>
  <c r="G44" i="9"/>
  <c r="H44" i="9" s="1"/>
  <c r="M44" i="9" s="1"/>
  <c r="G49" i="10"/>
  <c r="H49" i="10" s="1"/>
  <c r="M49" i="10" s="1"/>
  <c r="G49" i="9"/>
  <c r="H49" i="9" s="1"/>
  <c r="M49" i="9" s="1"/>
  <c r="G51" i="10"/>
  <c r="H51" i="10" s="1"/>
  <c r="M51" i="10" s="1"/>
  <c r="G51" i="9"/>
  <c r="H51" i="9" s="1"/>
  <c r="M51" i="9" s="1"/>
  <c r="M20" i="1"/>
  <c r="G20" i="2" s="1"/>
  <c r="H20" i="2" s="1"/>
  <c r="M20" i="2" s="1"/>
  <c r="G20" i="3" s="1"/>
  <c r="H20" i="3" s="1"/>
  <c r="M20" i="3" s="1"/>
  <c r="G20" i="4" s="1"/>
  <c r="H20" i="4" s="1"/>
  <c r="M20" i="4" s="1"/>
  <c r="G20" i="5" s="1"/>
  <c r="H20" i="5" s="1"/>
  <c r="M20" i="5" s="1"/>
  <c r="G20" i="6" s="1"/>
  <c r="H20" i="6" s="1"/>
  <c r="M20" i="6" s="1"/>
  <c r="G20" i="7" s="1"/>
  <c r="H20" i="7" s="1"/>
  <c r="M20" i="7" s="1"/>
  <c r="M15" i="1"/>
  <c r="G15" i="2" s="1"/>
  <c r="H15" i="2" s="1"/>
  <c r="M15" i="2" s="1"/>
  <c r="G15" i="3" s="1"/>
  <c r="H15" i="3" s="1"/>
  <c r="M15" i="3" s="1"/>
  <c r="G15" i="4" s="1"/>
  <c r="H15" i="4" s="1"/>
  <c r="M15" i="4" s="1"/>
  <c r="G33" i="10"/>
  <c r="H33" i="10" s="1"/>
  <c r="M33" i="10" s="1"/>
  <c r="G33" i="9"/>
  <c r="H33" i="9" s="1"/>
  <c r="M33" i="9" s="1"/>
  <c r="G34" i="10"/>
  <c r="H34" i="10" s="1"/>
  <c r="M34" i="10" s="1"/>
  <c r="G34" i="9"/>
  <c r="H34" i="9" s="1"/>
  <c r="M34" i="9" s="1"/>
  <c r="G37" i="10"/>
  <c r="H37" i="10" s="1"/>
  <c r="M37" i="10" s="1"/>
  <c r="G37" i="9"/>
  <c r="H37" i="9" s="1"/>
  <c r="M37" i="9" s="1"/>
  <c r="G42" i="10"/>
  <c r="H42" i="10" s="1"/>
  <c r="M42" i="10" s="1"/>
  <c r="G42" i="9"/>
  <c r="H42" i="9" s="1"/>
  <c r="M42" i="9" s="1"/>
  <c r="G48" i="10"/>
  <c r="H48" i="10" s="1"/>
  <c r="M48" i="10" s="1"/>
  <c r="G48" i="9"/>
  <c r="H48" i="9" s="1"/>
  <c r="M48" i="9" s="1"/>
  <c r="I57" i="9"/>
  <c r="I60" i="9" s="1"/>
  <c r="I61" i="9" s="1"/>
  <c r="I64" i="9" s="1"/>
  <c r="M64" i="9" s="1"/>
  <c r="M23" i="1"/>
  <c r="G23" i="2" s="1"/>
  <c r="H23" i="2" s="1"/>
  <c r="M23" i="2" s="1"/>
  <c r="G23" i="3" s="1"/>
  <c r="H23" i="3" s="1"/>
  <c r="M23" i="3" s="1"/>
  <c r="G23" i="4" s="1"/>
  <c r="H23" i="4" s="1"/>
  <c r="M23" i="4" s="1"/>
  <c r="G23" i="5" s="1"/>
  <c r="H23" i="5" s="1"/>
  <c r="M23" i="5" s="1"/>
  <c r="G23" i="6" s="1"/>
  <c r="H23" i="6" s="1"/>
  <c r="M23" i="6" s="1"/>
  <c r="G23" i="7" s="1"/>
  <c r="H23" i="7" s="1"/>
  <c r="M23" i="7" s="1"/>
  <c r="G23" i="8" s="1"/>
  <c r="H23" i="8" s="1"/>
  <c r="M23" i="8" s="1"/>
  <c r="M30" i="3"/>
  <c r="G30" i="4" s="1"/>
  <c r="H30" i="4" s="1"/>
  <c r="M30" i="4" s="1"/>
  <c r="G30" i="5" s="1"/>
  <c r="H30" i="5" s="1"/>
  <c r="M30" i="5" s="1"/>
  <c r="G30" i="6" s="1"/>
  <c r="H30" i="6" s="1"/>
  <c r="M30" i="6" s="1"/>
  <c r="G30" i="7" s="1"/>
  <c r="H30" i="7" s="1"/>
  <c r="M30" i="7" s="1"/>
  <c r="G30" i="8" s="1"/>
  <c r="H30" i="8" s="1"/>
  <c r="M30" i="8" s="1"/>
  <c r="G41" i="10"/>
  <c r="H41" i="10" s="1"/>
  <c r="M41" i="10" s="1"/>
  <c r="G41" i="9"/>
  <c r="H41" i="9" s="1"/>
  <c r="M41" i="9" s="1"/>
  <c r="G10" i="10"/>
  <c r="H10" i="10" s="1"/>
  <c r="M10" i="10" s="1"/>
  <c r="G10" i="9"/>
  <c r="H10" i="9" s="1"/>
  <c r="M10" i="9" s="1"/>
  <c r="G20" i="9"/>
  <c r="H20" i="9" s="1"/>
  <c r="M20" i="9" s="1"/>
  <c r="M32" i="1"/>
  <c r="G32" i="2" s="1"/>
  <c r="H32" i="2" s="1"/>
  <c r="M32" i="2" s="1"/>
  <c r="G32" i="3" s="1"/>
  <c r="H32" i="3" s="1"/>
  <c r="M32" i="3" s="1"/>
  <c r="G32" i="4" s="1"/>
  <c r="H32" i="4" s="1"/>
  <c r="M32" i="4" s="1"/>
  <c r="G32" i="5" s="1"/>
  <c r="H32" i="5" s="1"/>
  <c r="M32" i="5" s="1"/>
  <c r="G32" i="6" s="1"/>
  <c r="H32" i="6" s="1"/>
  <c r="M32" i="6" s="1"/>
  <c r="G32" i="7" s="1"/>
  <c r="H32" i="7" s="1"/>
  <c r="M32" i="7" s="1"/>
  <c r="G32" i="8" s="1"/>
  <c r="H32" i="8" s="1"/>
  <c r="M32" i="8" s="1"/>
  <c r="G39" i="10"/>
  <c r="H39" i="10" s="1"/>
  <c r="M39" i="10" s="1"/>
  <c r="G39" i="9"/>
  <c r="H39" i="9" s="1"/>
  <c r="M39" i="9" s="1"/>
  <c r="M45" i="3"/>
  <c r="G45" i="4" s="1"/>
  <c r="H45" i="4" s="1"/>
  <c r="M45" i="4" s="1"/>
  <c r="G45" i="5" s="1"/>
  <c r="H45" i="5" s="1"/>
  <c r="M45" i="5" s="1"/>
  <c r="G45" i="6" s="1"/>
  <c r="H45" i="6" s="1"/>
  <c r="M45" i="6" s="1"/>
  <c r="G45" i="7" s="1"/>
  <c r="H45" i="7" s="1"/>
  <c r="M45" i="7" s="1"/>
  <c r="G45" i="8" s="1"/>
  <c r="H45" i="8" s="1"/>
  <c r="M45" i="8" s="1"/>
  <c r="G56" i="10"/>
  <c r="H56" i="10" s="1"/>
  <c r="M56" i="10" s="1"/>
  <c r="G56" i="9"/>
  <c r="H56" i="9" s="1"/>
  <c r="M56" i="9" s="1"/>
  <c r="G9" i="9"/>
  <c r="H9" i="9" s="1"/>
  <c r="M9" i="9" s="1"/>
  <c r="M38" i="1"/>
  <c r="G38" i="2" s="1"/>
  <c r="H38" i="2" s="1"/>
  <c r="M38" i="2" s="1"/>
  <c r="G38" i="3" s="1"/>
  <c r="H38" i="3" s="1"/>
  <c r="M38" i="3" s="1"/>
  <c r="G38" i="4" s="1"/>
  <c r="H38" i="4" s="1"/>
  <c r="M38" i="4" s="1"/>
  <c r="G38" i="5" s="1"/>
  <c r="H38" i="5" s="1"/>
  <c r="M38" i="5" s="1"/>
  <c r="G38" i="6" s="1"/>
  <c r="H38" i="6" s="1"/>
  <c r="M38" i="6" s="1"/>
  <c r="G38" i="7" s="1"/>
  <c r="H38" i="7" s="1"/>
  <c r="M38" i="7" s="1"/>
  <c r="G38" i="8" s="1"/>
  <c r="H38" i="8" s="1"/>
  <c r="M38" i="8" s="1"/>
  <c r="M11" i="3"/>
  <c r="M43" i="8"/>
  <c r="G43" i="10" s="1"/>
  <c r="H43" i="10" s="1"/>
  <c r="M43" i="10" s="1"/>
  <c r="M47" i="1"/>
  <c r="G47" i="2" s="1"/>
  <c r="H47" i="2" s="1"/>
  <c r="M47" i="2" s="1"/>
  <c r="G47" i="3" s="1"/>
  <c r="H47" i="3" s="1"/>
  <c r="M47" i="3" s="1"/>
  <c r="G47" i="4" s="1"/>
  <c r="H47" i="4" s="1"/>
  <c r="M47" i="4" s="1"/>
  <c r="G47" i="5" s="1"/>
  <c r="H47" i="5" s="1"/>
  <c r="M47" i="5" s="1"/>
  <c r="G47" i="6" s="1"/>
  <c r="H47" i="6" s="1"/>
  <c r="M47" i="6" s="1"/>
  <c r="G47" i="7" s="1"/>
  <c r="H47" i="7" s="1"/>
  <c r="M47" i="7" s="1"/>
  <c r="G47" i="8" s="1"/>
  <c r="H47" i="8" s="1"/>
  <c r="M47" i="8" s="1"/>
  <c r="M12" i="5"/>
  <c r="G12" i="6" s="1"/>
  <c r="H12" i="6" s="1"/>
  <c r="M12" i="6" s="1"/>
  <c r="G12" i="7" s="1"/>
  <c r="H12" i="7" s="1"/>
  <c r="M12" i="7" s="1"/>
  <c r="G12" i="8" s="1"/>
  <c r="H12" i="8" s="1"/>
  <c r="M12" i="8" s="1"/>
  <c r="G40" i="10"/>
  <c r="G40" i="9"/>
  <c r="H40" i="9" s="1"/>
  <c r="M40" i="9" s="1"/>
  <c r="G55" i="7"/>
  <c r="G43" i="9"/>
  <c r="G23" i="10" l="1"/>
  <c r="H23" i="10" s="1"/>
  <c r="M23" i="10" s="1"/>
  <c r="G23" i="9"/>
  <c r="H23" i="9" s="1"/>
  <c r="M23" i="9" s="1"/>
  <c r="G11" i="4"/>
  <c r="G32" i="10"/>
  <c r="H32" i="10" s="1"/>
  <c r="M32" i="10" s="1"/>
  <c r="G32" i="9"/>
  <c r="H32" i="9" s="1"/>
  <c r="M32" i="9" s="1"/>
  <c r="E70" i="1"/>
  <c r="M57" i="1"/>
  <c r="G12" i="2"/>
  <c r="G12" i="10"/>
  <c r="H12" i="10" s="1"/>
  <c r="M12" i="10" s="1"/>
  <c r="G12" i="9"/>
  <c r="H12" i="9" s="1"/>
  <c r="M12" i="9" s="1"/>
  <c r="G38" i="10"/>
  <c r="H38" i="10" s="1"/>
  <c r="M38" i="10" s="1"/>
  <c r="G38" i="9"/>
  <c r="H38" i="9" s="1"/>
  <c r="M38" i="9" s="1"/>
  <c r="G45" i="10"/>
  <c r="H45" i="10" s="1"/>
  <c r="M45" i="10" s="1"/>
  <c r="G45" i="9"/>
  <c r="H45" i="9" s="1"/>
  <c r="M45" i="9" s="1"/>
  <c r="G47" i="10"/>
  <c r="H47" i="10" s="1"/>
  <c r="M47" i="10" s="1"/>
  <c r="G47" i="9"/>
  <c r="H47" i="9" s="1"/>
  <c r="M47" i="9" s="1"/>
  <c r="G30" i="10"/>
  <c r="H30" i="10" s="1"/>
  <c r="M30" i="10" s="1"/>
  <c r="G30" i="9"/>
  <c r="H30" i="9" s="1"/>
  <c r="M30" i="9" s="1"/>
  <c r="G31" i="10"/>
  <c r="H31" i="10" s="1"/>
  <c r="M31" i="10" s="1"/>
  <c r="G31" i="9"/>
  <c r="H31" i="9" s="1"/>
  <c r="M31" i="9" s="1"/>
  <c r="H40" i="10"/>
  <c r="H55" i="7"/>
  <c r="H43" i="9"/>
  <c r="H11" i="4" l="1"/>
  <c r="G57" i="2"/>
  <c r="H12" i="2"/>
  <c r="M40" i="10"/>
  <c r="M55" i="7"/>
  <c r="M43" i="9"/>
  <c r="M12" i="2" l="1"/>
  <c r="H57" i="2"/>
  <c r="M11" i="4"/>
  <c r="G55" i="8"/>
  <c r="G11" i="5" l="1"/>
  <c r="E70" i="2"/>
  <c r="Q24" i="2"/>
  <c r="M57" i="2"/>
  <c r="G12" i="3"/>
  <c r="H55" i="8"/>
  <c r="H12" i="3" l="1"/>
  <c r="G57" i="3"/>
  <c r="H11" i="5"/>
  <c r="G57" i="5"/>
  <c r="M55" i="8"/>
  <c r="H55" i="10" s="1"/>
  <c r="M55" i="10" s="1"/>
  <c r="M11" i="5" l="1"/>
  <c r="H57" i="5"/>
  <c r="M12" i="3"/>
  <c r="H57" i="3"/>
  <c r="G55" i="9"/>
  <c r="E71" i="3" l="1"/>
  <c r="Q24" i="3"/>
  <c r="G12" i="4"/>
  <c r="M57" i="3"/>
  <c r="Q24" i="5"/>
  <c r="E71" i="5"/>
  <c r="G11" i="6"/>
  <c r="M57" i="5"/>
  <c r="H55" i="9"/>
  <c r="H11" i="6" l="1"/>
  <c r="G57" i="6"/>
  <c r="H12" i="4"/>
  <c r="G57" i="4"/>
  <c r="M55" i="9"/>
  <c r="M12" i="4" l="1"/>
  <c r="M57" i="4" s="1"/>
  <c r="H57" i="4"/>
  <c r="M11" i="6"/>
  <c r="H57" i="6"/>
  <c r="G11" i="7" l="1"/>
  <c r="M57" i="6"/>
  <c r="E71" i="4"/>
  <c r="Q24" i="4"/>
  <c r="E70" i="6"/>
  <c r="Q24" i="6"/>
  <c r="H11" i="7" l="1"/>
  <c r="G57" i="7"/>
  <c r="M11" i="7" l="1"/>
  <c r="H57" i="7"/>
  <c r="E70" i="7" l="1"/>
  <c r="Q24" i="7"/>
  <c r="G11" i="8"/>
  <c r="M57" i="7"/>
  <c r="H11" i="8" l="1"/>
  <c r="G57" i="8"/>
  <c r="M11" i="8" l="1"/>
  <c r="H57" i="8"/>
  <c r="E70" i="8" s="1"/>
  <c r="G11" i="10" l="1"/>
  <c r="G11" i="9"/>
  <c r="M57" i="8"/>
  <c r="H11" i="9" l="1"/>
  <c r="G57" i="9"/>
  <c r="H11" i="10"/>
  <c r="G57" i="10"/>
  <c r="M11" i="10" l="1"/>
  <c r="M57" i="10" s="1"/>
  <c r="H57" i="10"/>
  <c r="E70" i="10" s="1"/>
  <c r="M11" i="9"/>
  <c r="M57" i="9" s="1"/>
  <c r="H57" i="9"/>
  <c r="E7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34" authorId="0" shapeId="0" xr:uid="{50A7D87E-269B-4A40-A1E5-04D9803E4DD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CAME IN THIS MONTH JULY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34" authorId="0" shapeId="0" xr:uid="{D9FACFA8-1DC8-4F1C-B87E-53B8F23314D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CAME IN THIS MONTH JULY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34" authorId="0" shapeId="0" xr:uid="{EF5073A3-1224-4769-BBC4-A9C2418C0F8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CAME IN THIS MONTH JULY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34" authorId="0" shapeId="0" xr:uid="{27D0343E-3A91-46AF-BB5F-9064D4DAB6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CAME IN THIS MONTH JULY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34" authorId="0" shapeId="0" xr:uid="{2219205F-1164-41A2-90C7-8472046B42B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CAME IN THIS MONTH JULY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34" authorId="0" shapeId="0" xr:uid="{FE87A906-712D-414E-B63F-C1AFFDF60BA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CAME IN THIS MONTH JULY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34" authorId="0" shapeId="0" xr:uid="{46459BB4-E0A0-410B-AAF6-1C798B0A25A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CAME IN THIS MONTH JULY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34" authorId="0" shapeId="0" xr:uid="{3C297A9F-9DF0-4C6E-90DB-C409E29E2A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CAME IN THIS MONTH JULY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34" authorId="0" shapeId="0" xr:uid="{0B5BA457-1E0C-4EFC-B3D8-C409408169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CAME IN THIS MONTH JULY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34" authorId="0" shapeId="0" xr:uid="{4FBEA834-4E32-449C-87F6-4EC04E5D532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CAME IN THIS MONTH JULY</t>
        </r>
      </text>
    </comment>
  </commentList>
</comments>
</file>

<file path=xl/sharedStrings.xml><?xml version="1.0" encoding="utf-8"?>
<sst xmlns="http://schemas.openxmlformats.org/spreadsheetml/2006/main" count="3316" uniqueCount="830">
  <si>
    <t>LOBBY ENTERPRISES</t>
  </si>
  <si>
    <t xml:space="preserve">                                                          PROPERTY MANAGERS AND ESTATE AGENTS</t>
  </si>
  <si>
    <t xml:space="preserve">                                                                        JAN 2026</t>
  </si>
  <si>
    <t>P.O.BOX 11987</t>
  </si>
  <si>
    <t>TEL : 0722711933/4454322</t>
  </si>
  <si>
    <t>A/C</t>
  </si>
  <si>
    <t>Care taker</t>
  </si>
  <si>
    <t>Phone no</t>
  </si>
  <si>
    <t>HSE NO</t>
  </si>
  <si>
    <t>NAME</t>
  </si>
  <si>
    <t>PHONE NO</t>
  </si>
  <si>
    <t>DEPOSIT PAID</t>
  </si>
  <si>
    <t>MONTHLY RENT</t>
  </si>
  <si>
    <t>BAL B/D</t>
  </si>
  <si>
    <t>RENT DUE</t>
  </si>
  <si>
    <t>RENT PAID</t>
  </si>
  <si>
    <t>RCT NO</t>
  </si>
  <si>
    <t>PERIOD</t>
  </si>
  <si>
    <t>BALANCE</t>
  </si>
  <si>
    <t>STATUS</t>
  </si>
  <si>
    <t>FORMS</t>
  </si>
  <si>
    <t>JAN</t>
  </si>
  <si>
    <t>CR</t>
  </si>
  <si>
    <t>2 BROKEN PADLOCK ADD 1000</t>
  </si>
  <si>
    <t>CECILIA</t>
  </si>
  <si>
    <t>Totals</t>
  </si>
  <si>
    <t>Deductions</t>
  </si>
  <si>
    <t>Less Management fees</t>
  </si>
  <si>
    <t>TOTAL DEDUCTIONS</t>
  </si>
  <si>
    <t>BAL B/F</t>
  </si>
  <si>
    <t>Paid</t>
  </si>
  <si>
    <t>Balance</t>
  </si>
  <si>
    <t>AMOUNT DUE</t>
  </si>
  <si>
    <t>AUTHORISED BY JOSEPH GITHINJI</t>
  </si>
  <si>
    <t>STUDIO HAVEN</t>
  </si>
  <si>
    <t>H1</t>
  </si>
  <si>
    <t>H3</t>
  </si>
  <si>
    <t>H2</t>
  </si>
  <si>
    <t>H4</t>
  </si>
  <si>
    <t>H5</t>
  </si>
  <si>
    <t>H6</t>
  </si>
  <si>
    <t>H7</t>
  </si>
  <si>
    <t>H8</t>
  </si>
  <si>
    <t>H9</t>
  </si>
  <si>
    <t>H10</t>
  </si>
  <si>
    <t>ROSE</t>
  </si>
  <si>
    <t>0707714065</t>
  </si>
  <si>
    <t>BENSON</t>
  </si>
  <si>
    <t>0741776284</t>
  </si>
  <si>
    <t>0743724464</t>
  </si>
  <si>
    <t>PAUL</t>
  </si>
  <si>
    <t>0723316248</t>
  </si>
  <si>
    <t>EUGENE</t>
  </si>
  <si>
    <t>0792983014</t>
  </si>
  <si>
    <t>JAMES</t>
  </si>
  <si>
    <t>0713161165</t>
  </si>
  <si>
    <t>BONIFACE</t>
  </si>
  <si>
    <t>0703962575</t>
  </si>
  <si>
    <t>ROBERT</t>
  </si>
  <si>
    <t>0726405930</t>
  </si>
  <si>
    <t>BEATRICE</t>
  </si>
  <si>
    <t>0711729058</t>
  </si>
  <si>
    <t>H11</t>
  </si>
  <si>
    <t>PETER</t>
  </si>
  <si>
    <t>0708568404</t>
  </si>
  <si>
    <t>H12</t>
  </si>
  <si>
    <t>GIDEON</t>
  </si>
  <si>
    <t>0712026963</t>
  </si>
  <si>
    <t>H13</t>
  </si>
  <si>
    <t>TREVOR</t>
  </si>
  <si>
    <t>0716484383</t>
  </si>
  <si>
    <t>H14</t>
  </si>
  <si>
    <t>LAWRENCE</t>
  </si>
  <si>
    <t>0713605808</t>
  </si>
  <si>
    <t>H15</t>
  </si>
  <si>
    <t>NANCY</t>
  </si>
  <si>
    <t>0715189007</t>
  </si>
  <si>
    <t>H16</t>
  </si>
  <si>
    <t>KELVIN GITONGA</t>
  </si>
  <si>
    <t>07792391382</t>
  </si>
  <si>
    <t>S1</t>
  </si>
  <si>
    <t>VIVIAN</t>
  </si>
  <si>
    <t>0748596476</t>
  </si>
  <si>
    <t>S2</t>
  </si>
  <si>
    <t>LINDA</t>
  </si>
  <si>
    <t>0748689851</t>
  </si>
  <si>
    <t>S3</t>
  </si>
  <si>
    <t>WARREN</t>
  </si>
  <si>
    <t>0769883948</t>
  </si>
  <si>
    <t>S4</t>
  </si>
  <si>
    <t>SCOLA</t>
  </si>
  <si>
    <t>0793889379</t>
  </si>
  <si>
    <t>S5</t>
  </si>
  <si>
    <t>IMELDA</t>
  </si>
  <si>
    <t>0723500330</t>
  </si>
  <si>
    <t>S6</t>
  </si>
  <si>
    <t>EVANS</t>
  </si>
  <si>
    <t>0702377661</t>
  </si>
  <si>
    <t>S7</t>
  </si>
  <si>
    <t>S8</t>
  </si>
  <si>
    <t>DORCAS</t>
  </si>
  <si>
    <t>0723433108</t>
  </si>
  <si>
    <t>S9</t>
  </si>
  <si>
    <t>MONICAH</t>
  </si>
  <si>
    <t>0740454928</t>
  </si>
  <si>
    <t>S10</t>
  </si>
  <si>
    <t>IAN KAMAU</t>
  </si>
  <si>
    <t>0745292688</t>
  </si>
  <si>
    <t>S11</t>
  </si>
  <si>
    <t>JUSTINE</t>
  </si>
  <si>
    <t>0724282631</t>
  </si>
  <si>
    <t>S12</t>
  </si>
  <si>
    <t>DERRICK</t>
  </si>
  <si>
    <t>0707280087</t>
  </si>
  <si>
    <t>S13</t>
  </si>
  <si>
    <t>VINCENT</t>
  </si>
  <si>
    <t>0798467289</t>
  </si>
  <si>
    <t>S14</t>
  </si>
  <si>
    <t>ARON</t>
  </si>
  <si>
    <t>0706195266</t>
  </si>
  <si>
    <t>S15</t>
  </si>
  <si>
    <t>0789232363</t>
  </si>
  <si>
    <t>S16</t>
  </si>
  <si>
    <t>S17</t>
  </si>
  <si>
    <t>LIZZIE NYAMBURA</t>
  </si>
  <si>
    <t>0792838695</t>
  </si>
  <si>
    <t>S18</t>
  </si>
  <si>
    <t>S19</t>
  </si>
  <si>
    <t>PHELISIA</t>
  </si>
  <si>
    <t>0718117097</t>
  </si>
  <si>
    <t>S20</t>
  </si>
  <si>
    <t>MAINA</t>
  </si>
  <si>
    <t>0797262139</t>
  </si>
  <si>
    <t>S21</t>
  </si>
  <si>
    <t>JONA KIBET</t>
  </si>
  <si>
    <t>0790405201</t>
  </si>
  <si>
    <t>S22</t>
  </si>
  <si>
    <t>CINDY</t>
  </si>
  <si>
    <t>0726239783</t>
  </si>
  <si>
    <t>S23</t>
  </si>
  <si>
    <t>YASHON</t>
  </si>
  <si>
    <t>011167127</t>
  </si>
  <si>
    <t>S24</t>
  </si>
  <si>
    <t xml:space="preserve">LIZZIE </t>
  </si>
  <si>
    <t>0706359132</t>
  </si>
  <si>
    <t>S25</t>
  </si>
  <si>
    <t>LUCY</t>
  </si>
  <si>
    <t>0703357741</t>
  </si>
  <si>
    <t>S26</t>
  </si>
  <si>
    <t>STELLA</t>
  </si>
  <si>
    <t>0745586458</t>
  </si>
  <si>
    <t>S30</t>
  </si>
  <si>
    <t>JOSEPH MUGO</t>
  </si>
  <si>
    <t>0704339161</t>
  </si>
  <si>
    <t>DUNCAN</t>
  </si>
  <si>
    <t>0723879509</t>
  </si>
  <si>
    <t>S27</t>
  </si>
  <si>
    <t>S28</t>
  </si>
  <si>
    <t>S29</t>
  </si>
  <si>
    <t>DOROTHY</t>
  </si>
  <si>
    <t>JUMA</t>
  </si>
  <si>
    <t>S31</t>
  </si>
  <si>
    <t>S32</t>
  </si>
  <si>
    <t>WATER BILL</t>
  </si>
  <si>
    <t xml:space="preserve">UA5R42RC93 </t>
  </si>
  <si>
    <t xml:space="preserve">UA9AY38T20 </t>
  </si>
  <si>
    <t xml:space="preserve">UA5U95S2NN </t>
  </si>
  <si>
    <t xml:space="preserve">UA4HM2SEQI </t>
  </si>
  <si>
    <t xml:space="preserve">UA8MS385SJ </t>
  </si>
  <si>
    <t>LINAH WAITHIRA NDERU</t>
  </si>
  <si>
    <t>0786286496</t>
  </si>
  <si>
    <t>UA91V3F4OI</t>
  </si>
  <si>
    <t>NEW TENANT 10TH</t>
  </si>
  <si>
    <t xml:space="preserve">UA9LR37RLY </t>
  </si>
  <si>
    <t>BEN SAKWA</t>
  </si>
  <si>
    <t xml:space="preserve">UA8GC36XI4 </t>
  </si>
  <si>
    <t xml:space="preserve">UA5IA30U53 </t>
  </si>
  <si>
    <t xml:space="preserve">UA6HE31ARF </t>
  </si>
  <si>
    <t xml:space="preserve">UA2SG67O5R </t>
  </si>
  <si>
    <t xml:space="preserve">UA5LX2U1DH </t>
  </si>
  <si>
    <t xml:space="preserve">UA6952X62K </t>
  </si>
  <si>
    <t xml:space="preserve">UA5N02YEOZ </t>
  </si>
  <si>
    <t xml:space="preserve">TLPJ41UTT7/UA6J42VIKE </t>
  </si>
  <si>
    <t>VACANT</t>
  </si>
  <si>
    <t>UA59R2ZI3D</t>
  </si>
  <si>
    <t xml:space="preserve">UA2RI2O2PD </t>
  </si>
  <si>
    <t xml:space="preserve">UAAD33E8EJ </t>
  </si>
  <si>
    <t xml:space="preserve">UA5QO2WROF </t>
  </si>
  <si>
    <t xml:space="preserve">UA7SB5ZMGS </t>
  </si>
  <si>
    <t xml:space="preserve">UA71X36N5C </t>
  </si>
  <si>
    <t xml:space="preserve">UA2B12QDUE </t>
  </si>
  <si>
    <t xml:space="preserve">UAB2M3NP4G </t>
  </si>
  <si>
    <t>BRIAN CHERUIYOT</t>
  </si>
  <si>
    <t>0746324500</t>
  </si>
  <si>
    <t xml:space="preserve">UABOF3JIQB </t>
  </si>
  <si>
    <t>UA60I2XQPE</t>
  </si>
  <si>
    <t>DIRECT</t>
  </si>
  <si>
    <t xml:space="preserve">ELIZABETH </t>
  </si>
  <si>
    <t>0796292019</t>
  </si>
  <si>
    <t xml:space="preserve">UA55V2ZG6Q </t>
  </si>
  <si>
    <t>UAE133QJE6</t>
  </si>
  <si>
    <t xml:space="preserve">UAC853MOWG </t>
  </si>
  <si>
    <t xml:space="preserve">UAA5Q3N1P3 </t>
  </si>
  <si>
    <t xml:space="preserve">UA35G2VB9R </t>
  </si>
  <si>
    <t xml:space="preserve">TLPC424XDA </t>
  </si>
  <si>
    <t>locked</t>
  </si>
  <si>
    <t>TO CONFIRM</t>
  </si>
  <si>
    <t>DATE</t>
  </si>
  <si>
    <t xml:space="preserve">UAHGB3UU03/UARGB4U965 </t>
  </si>
  <si>
    <t>17TH/'26TH JAN</t>
  </si>
  <si>
    <t>UA82T37XZ5 /UA72T35HD8 /UAU2T5AYOJ</t>
  </si>
  <si>
    <t xml:space="preserve">VACANT </t>
  </si>
  <si>
    <t>4TH JAN</t>
  </si>
  <si>
    <t>9TH JAN</t>
  </si>
  <si>
    <t>8TH JAN</t>
  </si>
  <si>
    <t>5TH JAN</t>
  </si>
  <si>
    <t>2ND JAN</t>
  </si>
  <si>
    <t>25TH DEC/6TH JAN</t>
  </si>
  <si>
    <t>6TH JAN</t>
  </si>
  <si>
    <t>7TH/8TH JAN</t>
  </si>
  <si>
    <t>10TH JAN</t>
  </si>
  <si>
    <t>7TH JAN</t>
  </si>
  <si>
    <t>11TH JAN</t>
  </si>
  <si>
    <t>FEBRUARY</t>
  </si>
  <si>
    <t>SIMON</t>
  </si>
  <si>
    <t>0745935239</t>
  </si>
  <si>
    <t>UAU1F5D012</t>
  </si>
  <si>
    <t>30TH JAN</t>
  </si>
  <si>
    <t>CARETAKER</t>
  </si>
  <si>
    <t>UB39R5NYMO</t>
  </si>
  <si>
    <t>3RD FEB</t>
  </si>
  <si>
    <t xml:space="preserve">UB4LX5KYQO </t>
  </si>
  <si>
    <t>4TH FEB</t>
  </si>
  <si>
    <t>RONO ELIJAH</t>
  </si>
  <si>
    <t xml:space="preserve">UAV9A5BDPL </t>
  </si>
  <si>
    <t>31ST JAN</t>
  </si>
  <si>
    <t xml:space="preserve">UB2OV5L09G /'UB3OV5PL45 </t>
  </si>
  <si>
    <t>2ND/3RD FEB</t>
  </si>
  <si>
    <t>SIGNED</t>
  </si>
  <si>
    <t>SAID A SAID</t>
  </si>
  <si>
    <t xml:space="preserve">UB45V5QPAV </t>
  </si>
  <si>
    <t xml:space="preserve">UB4955NCJQ </t>
  </si>
  <si>
    <t xml:space="preserve">UB4QO5LCAL </t>
  </si>
  <si>
    <t xml:space="preserve">UB42T5PKMZ </t>
  </si>
  <si>
    <t xml:space="preserve">UB5SB77IA1 </t>
  </si>
  <si>
    <t>5TH FEB</t>
  </si>
  <si>
    <t xml:space="preserve">UB44763A1E </t>
  </si>
  <si>
    <t xml:space="preserve">UB42A61CO0 </t>
  </si>
  <si>
    <t>UB4EN5LDXD</t>
  </si>
  <si>
    <t xml:space="preserve">UB5AY5SDCV </t>
  </si>
  <si>
    <t xml:space="preserve">UB5R45KIZ7 </t>
  </si>
  <si>
    <t xml:space="preserve">UB56J5UMIL </t>
  </si>
  <si>
    <t xml:space="preserve">UB5B15YDUF </t>
  </si>
  <si>
    <t xml:space="preserve">UB51X5XU7O </t>
  </si>
  <si>
    <t>10TH</t>
  </si>
  <si>
    <t xml:space="preserve">UB3GH5SRXU </t>
  </si>
  <si>
    <t>UB56L5R7UV</t>
  </si>
  <si>
    <t>25TH JAN</t>
  </si>
  <si>
    <t xml:space="preserve">UB15Q5Q20O </t>
  </si>
  <si>
    <t>1ST FEB</t>
  </si>
  <si>
    <t xml:space="preserve">UB60I5V021 </t>
  </si>
  <si>
    <t>6TH FEB</t>
  </si>
  <si>
    <t xml:space="preserve">UB6OF60SH9 </t>
  </si>
  <si>
    <t xml:space="preserve">UB785601I6 </t>
  </si>
  <si>
    <t>7TH FEB</t>
  </si>
  <si>
    <t xml:space="preserve">UB67V60IG9 /UB77V63JK7 </t>
  </si>
  <si>
    <t>6TH /7TH FEB</t>
  </si>
  <si>
    <t xml:space="preserve">UBA1V6E1J8 </t>
  </si>
  <si>
    <t>9TH FEB</t>
  </si>
  <si>
    <t xml:space="preserve">UBA1V6E1J8 /UB41V5W5TN </t>
  </si>
  <si>
    <t>4TH/10TH FEB</t>
  </si>
  <si>
    <t>PETER GACHURI</t>
  </si>
  <si>
    <t>0794799285</t>
  </si>
  <si>
    <t xml:space="preserve">EZEKIEL KAIKAI </t>
  </si>
  <si>
    <t>UBAK86D19W</t>
  </si>
  <si>
    <t>10TH FEB</t>
  </si>
  <si>
    <t xml:space="preserve">UB5U971ISL </t>
  </si>
  <si>
    <t xml:space="preserve">UBB5G6JQVC </t>
  </si>
  <si>
    <t>11TH FEB</t>
  </si>
  <si>
    <t xml:space="preserve">UBBMS6CJ15 </t>
  </si>
  <si>
    <t xml:space="preserve">UBB7Q6IVOX </t>
  </si>
  <si>
    <t>11TH</t>
  </si>
  <si>
    <t>UB3HM5LYQQ</t>
  </si>
  <si>
    <t>UB6KD5V77I</t>
  </si>
  <si>
    <t>0716507709</t>
  </si>
  <si>
    <t>0793749115</t>
  </si>
  <si>
    <t xml:space="preserve">UB2RI5JKGB </t>
  </si>
  <si>
    <t>2ND FEB</t>
  </si>
  <si>
    <t>UB9D3647TO</t>
  </si>
  <si>
    <t xml:space="preserve">UB32M5R783 </t>
  </si>
  <si>
    <t xml:space="preserve">UB1C45KWB5 </t>
  </si>
  <si>
    <t xml:space="preserve">UB6IA5XEBJ </t>
  </si>
  <si>
    <t xml:space="preserve">UBBSG82QRZ </t>
  </si>
  <si>
    <t>0711167127</t>
  </si>
  <si>
    <t xml:space="preserve">UBBI96CY2J </t>
  </si>
  <si>
    <t>LOCKED</t>
  </si>
  <si>
    <t>REDUCING</t>
  </si>
  <si>
    <t xml:space="preserve">SIGNED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</si>
  <si>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0743724464/'0110082228</t>
  </si>
  <si>
    <t>0792391382</t>
  </si>
  <si>
    <t xml:space="preserve"> JOEL MAINA</t>
  </si>
  <si>
    <t>0716484383/'0721832745</t>
  </si>
  <si>
    <t>SHAWN RATEMO</t>
  </si>
  <si>
    <t xml:space="preserve">UB1A25KQTX </t>
  </si>
  <si>
    <t>UAP194RE18/UBQ197PK5L</t>
  </si>
  <si>
    <t>MARCH</t>
  </si>
  <si>
    <t>1ST MARCH</t>
  </si>
  <si>
    <t>UC3K88C9U2</t>
  </si>
  <si>
    <t>3RD MARCH</t>
  </si>
  <si>
    <t>UC39R8C6T3</t>
  </si>
  <si>
    <t>0719488891</t>
  </si>
  <si>
    <t>0702146655</t>
  </si>
  <si>
    <t xml:space="preserve">UC4A28H8ID </t>
  </si>
  <si>
    <t>4TH MARCH</t>
  </si>
  <si>
    <t xml:space="preserve">UC4B18GXDC </t>
  </si>
  <si>
    <t xml:space="preserve">UC5LX8AGJ0 </t>
  </si>
  <si>
    <t>5TH MARCH</t>
  </si>
  <si>
    <t>UC5EN8ASG3</t>
  </si>
  <si>
    <t xml:space="preserve">UC41F8I15J </t>
  </si>
  <si>
    <t xml:space="preserve">UC5958E3YK </t>
  </si>
  <si>
    <t xml:space="preserve">UC5U9882BI </t>
  </si>
  <si>
    <t xml:space="preserve">UC5478SORT </t>
  </si>
  <si>
    <t xml:space="preserve">UC55V8H5QK </t>
  </si>
  <si>
    <t>UC5GH8NQ0E</t>
  </si>
  <si>
    <t>UC56J8HQDS</t>
  </si>
  <si>
    <t>UC5QO8D284</t>
  </si>
  <si>
    <t>UC5R485R0C</t>
  </si>
  <si>
    <t>UC5SB8FV86</t>
  </si>
  <si>
    <t>UC5HM8ETCZ</t>
  </si>
  <si>
    <t xml:space="preserve">UC91X8WT2D </t>
  </si>
  <si>
    <t>9TH MARCH</t>
  </si>
  <si>
    <t xml:space="preserve">UC41V8IX1U/UC91V8XJ0K </t>
  </si>
  <si>
    <t>4TH/9TH MARCH</t>
  </si>
  <si>
    <t xml:space="preserve">UC85Q90VVK </t>
  </si>
  <si>
    <t>8TH MARCH</t>
  </si>
  <si>
    <t xml:space="preserve">UC7AY8KXQJ </t>
  </si>
  <si>
    <t>7TH MARCH</t>
  </si>
  <si>
    <t>6TH MARCH</t>
  </si>
  <si>
    <t xml:space="preserve">UC77V8R06V </t>
  </si>
  <si>
    <t xml:space="preserve">UC6858K5TG </t>
  </si>
  <si>
    <t xml:space="preserve">UC52M8KO7O </t>
  </si>
  <si>
    <t xml:space="preserve">UBO2A7XZ5J </t>
  </si>
  <si>
    <t>24TH FEB</t>
  </si>
  <si>
    <t xml:space="preserve">UC1C488NGA </t>
  </si>
  <si>
    <t xml:space="preserve">UC4OV8H0W7 </t>
  </si>
  <si>
    <t xml:space="preserve">UC7KD8LF1L </t>
  </si>
  <si>
    <t>UC56L8DBPJ</t>
  </si>
  <si>
    <t>UC9I98RYCB</t>
  </si>
  <si>
    <t>UC8OF8SCHV</t>
  </si>
  <si>
    <t>14TH</t>
  </si>
  <si>
    <t>HOSPITALIZED</t>
  </si>
  <si>
    <t>UCBD38Z2FB</t>
  </si>
  <si>
    <t>11TH MARCH</t>
  </si>
  <si>
    <t>UC7RI8M5EP</t>
  </si>
  <si>
    <t>R3JK6CLTK82</t>
  </si>
  <si>
    <t>UC8IA8R23L</t>
  </si>
  <si>
    <t>UCASG9DEZI</t>
  </si>
  <si>
    <t>10TH MARCH</t>
  </si>
  <si>
    <t>UCA5G96557</t>
  </si>
  <si>
    <t>1ST/7TH MARCH</t>
  </si>
  <si>
    <t xml:space="preserve">UC3HE8ALL5 /UC3HE8AJSA /UCBHE90FP8 </t>
  </si>
  <si>
    <t>3RD/11TH MARCH</t>
  </si>
  <si>
    <t>12TH MARCH</t>
  </si>
  <si>
    <t>UCCMS92YRZ</t>
  </si>
  <si>
    <t xml:space="preserve">UCC0I8YJ7H /UCE0I96L4Z </t>
  </si>
  <si>
    <t>12TH/14TH MARCH</t>
  </si>
  <si>
    <t xml:space="preserve">UCB7Q95V5X/UCE7Q9G9CD </t>
  </si>
  <si>
    <t>11TH/18TH MARCH</t>
  </si>
  <si>
    <t xml:space="preserve">UC4B18GXDC /UCQ2TAJO3S </t>
  </si>
  <si>
    <t>4TH/26TH  MARCH</t>
  </si>
  <si>
    <t xml:space="preserve">UC8198MW7G /UCQ19AIA45 </t>
  </si>
  <si>
    <t>8TH/26TH MARCH</t>
  </si>
  <si>
    <t xml:space="preserve">UC15K86V63 /UC75K8QF01 </t>
  </si>
  <si>
    <t xml:space="preserve">UC29V7XN7Q/UC39V82OSI  /UCR9VAEQGQ </t>
  </si>
  <si>
    <t>2ND/3RD /27TH MARCH</t>
  </si>
  <si>
    <t>PIPE RANGE</t>
  </si>
  <si>
    <t xml:space="preserve">                                                                        FEB 2026</t>
  </si>
  <si>
    <t xml:space="preserve">                                                                        MARCH 2026</t>
  </si>
  <si>
    <t>APR</t>
  </si>
  <si>
    <t xml:space="preserve">                                                                        APR 2026</t>
  </si>
  <si>
    <t>UD36JBFL17</t>
  </si>
  <si>
    <t>UD39RBK81D</t>
  </si>
  <si>
    <t>UD4D3BI7PH</t>
  </si>
  <si>
    <t>UD44703C9J</t>
  </si>
  <si>
    <t>UD4HMBJUQT</t>
  </si>
  <si>
    <t>UD4LXBI6Q1</t>
  </si>
  <si>
    <t>UD45VBOJ30</t>
  </si>
  <si>
    <t>UD5SB9RVOE</t>
  </si>
  <si>
    <t>UD3B1BKSN6</t>
  </si>
  <si>
    <t>UD5QOBKH4</t>
  </si>
  <si>
    <t>UD3S89ZW03</t>
  </si>
  <si>
    <t>UD4A2BQ81S</t>
  </si>
  <si>
    <t>UD16LB62Q0</t>
  </si>
  <si>
    <t>UD5R4BDPTH</t>
  </si>
  <si>
    <t>UD45Q01NRO</t>
  </si>
  <si>
    <t>UD695BR3DJ</t>
  </si>
  <si>
    <t>UD66VBPQB3</t>
  </si>
  <si>
    <t>UD3KDBIPCD</t>
  </si>
  <si>
    <t>UD4K8BLKNL</t>
  </si>
  <si>
    <t>UD8AY00TG6</t>
  </si>
  <si>
    <t>8/4/2026</t>
  </si>
  <si>
    <t>9/4/2026</t>
  </si>
  <si>
    <t xml:space="preserve"> UD91V0CLJ6/UD91V0CXW7</t>
  </si>
  <si>
    <t>UD72MO69KI</t>
  </si>
  <si>
    <t>7/4/2026</t>
  </si>
  <si>
    <t>UD8RIO2OID</t>
  </si>
  <si>
    <t>UD4J4BHPK4</t>
  </si>
  <si>
    <t>4/4/2026</t>
  </si>
  <si>
    <t>UD6OTBV6O5</t>
  </si>
  <si>
    <t>6/4/2026</t>
  </si>
  <si>
    <t>UD95G0HJKT</t>
  </si>
  <si>
    <t>UD3I9BEKSI</t>
  </si>
  <si>
    <t>3/4/2026</t>
  </si>
  <si>
    <t>UD8950ASU8</t>
  </si>
  <si>
    <t>UCR9VAEQGQ</t>
  </si>
  <si>
    <t>27/3/2026</t>
  </si>
  <si>
    <t>UDB2TOITZI</t>
  </si>
  <si>
    <t>11/4/2026</t>
  </si>
  <si>
    <t>UDFMSOWAX5</t>
  </si>
  <si>
    <t>15/4/26</t>
  </si>
  <si>
    <t>UDS7Q2O20S</t>
  </si>
  <si>
    <t>28/4/26</t>
  </si>
  <si>
    <t>I3KSGDVSMKN/Y3LUKJZ5XFV</t>
  </si>
  <si>
    <t>4/4/2026/1/5/2026</t>
  </si>
  <si>
    <t>UD413BK2H/UDU132H744</t>
  </si>
  <si>
    <t>MAY</t>
  </si>
  <si>
    <t xml:space="preserve">                                                                        MAY 2026</t>
  </si>
  <si>
    <t>UE55V38ZM8</t>
  </si>
  <si>
    <t>UE4LX2VJQF</t>
  </si>
  <si>
    <t xml:space="preserve">0743724464/'0110082228  </t>
  </si>
  <si>
    <t>EVICTED/MICROWAVE RETAINED TO RECOVER REPAIR COSTS</t>
  </si>
  <si>
    <t>0721832745</t>
  </si>
  <si>
    <t>UD6OF00TLM</t>
  </si>
  <si>
    <t>6TH APRIL</t>
  </si>
  <si>
    <t>PAID 5000 2ND MAY</t>
  </si>
  <si>
    <t>UD67V05HYO</t>
  </si>
  <si>
    <t>UD4HEBMPCV</t>
  </si>
  <si>
    <t>4TH APRIL</t>
  </si>
  <si>
    <t>UD6IABTCV9</t>
  </si>
  <si>
    <t>UD4LRBC8MI</t>
  </si>
  <si>
    <t>1ST APRIL</t>
  </si>
  <si>
    <t>UDU132H7744</t>
  </si>
  <si>
    <t>30/4/26</t>
  </si>
  <si>
    <t>Y3LUKJZ5XFV</t>
  </si>
  <si>
    <t>1/5/26</t>
  </si>
  <si>
    <t>UE4D33450Z</t>
  </si>
  <si>
    <t>4/5/26</t>
  </si>
  <si>
    <t>UE4B13A09F</t>
  </si>
  <si>
    <t>UE6HM36AV2</t>
  </si>
  <si>
    <t>6/5/26</t>
  </si>
  <si>
    <t>UE6R42V86S</t>
  </si>
  <si>
    <t>UE6SBB4FKJ</t>
  </si>
  <si>
    <t>5/5/26</t>
  </si>
  <si>
    <t>UE5QO31QAG</t>
  </si>
  <si>
    <t>UD8IF08HQ</t>
  </si>
  <si>
    <t>8TH APRIL</t>
  </si>
  <si>
    <t>UE7I93E3FD</t>
  </si>
  <si>
    <t>7/4/26</t>
  </si>
  <si>
    <t>UE81V3PQJQ</t>
  </si>
  <si>
    <t>9/5/26</t>
  </si>
  <si>
    <t>UE9953N520</t>
  </si>
  <si>
    <t>UE9853RN8M</t>
  </si>
  <si>
    <t>9/4/26</t>
  </si>
  <si>
    <t>UEA5G43PTH</t>
  </si>
  <si>
    <t>10/5/26</t>
  </si>
  <si>
    <t xml:space="preserve">0741776284 </t>
  </si>
  <si>
    <t>POWER OFF</t>
  </si>
  <si>
    <t>MUNYIRI WACHIRA</t>
  </si>
  <si>
    <t>0700935843</t>
  </si>
  <si>
    <t>6TH MAY</t>
  </si>
  <si>
    <t xml:space="preserve">0703962575 </t>
  </si>
  <si>
    <t>UE5OF3BU7X</t>
  </si>
  <si>
    <t>5TH MAY</t>
  </si>
  <si>
    <t xml:space="preserve">0711729058 </t>
  </si>
  <si>
    <t xml:space="preserve">0716484383/'0721832745 </t>
  </si>
  <si>
    <t xml:space="preserve">0719488891 </t>
  </si>
  <si>
    <t xml:space="preserve">0745935239 </t>
  </si>
  <si>
    <t>TESSA MARRIE</t>
  </si>
  <si>
    <t>UDU1F2P1I4</t>
  </si>
  <si>
    <t>30TH APRIL</t>
  </si>
  <si>
    <t>UE625353TF</t>
  </si>
  <si>
    <t>UE7A23OYM7</t>
  </si>
  <si>
    <t>7TH MAY</t>
  </si>
  <si>
    <t>UE71X30OTG</t>
  </si>
  <si>
    <t>UE56L379EV</t>
  </si>
  <si>
    <t>UE1C430RAK</t>
  </si>
  <si>
    <t>1ST MAY</t>
  </si>
  <si>
    <t>UE5J430PJ8</t>
  </si>
  <si>
    <t>DORCAS KENANDA</t>
  </si>
  <si>
    <t>UE4473L55T</t>
  </si>
  <si>
    <t>4TH MAY</t>
  </si>
  <si>
    <t>UDO191U64J</t>
  </si>
  <si>
    <t>24TH APRIL</t>
  </si>
  <si>
    <t>0725451845</t>
  </si>
  <si>
    <t>UCR2AB2BE6</t>
  </si>
  <si>
    <t>27TH MARCH</t>
  </si>
  <si>
    <t>UDO2A2FJX2</t>
  </si>
  <si>
    <t xml:space="preserve">UE20I2Q7XR/.UEB013SDFA </t>
  </si>
  <si>
    <t>2ND MAY/11TH MAY</t>
  </si>
  <si>
    <t>ANNE RITA</t>
  </si>
  <si>
    <t>UEB7V46U9U</t>
  </si>
  <si>
    <t>11TH MAY</t>
  </si>
  <si>
    <t>UEBHE3VSIH</t>
  </si>
  <si>
    <t>UECSG0CXXY</t>
  </si>
  <si>
    <t>12/5/26</t>
  </si>
  <si>
    <t>UIE6OF3G5A1/UEMOF57ICS</t>
  </si>
  <si>
    <t>JOY</t>
  </si>
  <si>
    <t>0724674470</t>
  </si>
  <si>
    <t>UEJOH4KMRT</t>
  </si>
  <si>
    <t>MARY MESUSWA</t>
  </si>
  <si>
    <t>UEGCXP337</t>
  </si>
  <si>
    <t>16TH MAY</t>
  </si>
  <si>
    <t xml:space="preserve"> </t>
  </si>
  <si>
    <t>KARANJA WAGE&amp; MOBILIZATION/ROOFING NAILS/SILICONE</t>
  </si>
  <si>
    <t>MOVED IN 29TH MAY</t>
  </si>
  <si>
    <t>MOVED IN 19TH MAY</t>
  </si>
  <si>
    <t>MOVED IN 1ST MAY</t>
  </si>
  <si>
    <t>MOVED IN 1ST JUNE</t>
  </si>
  <si>
    <t>JUNE</t>
  </si>
  <si>
    <t xml:space="preserve">                                                                        JUNE 2026</t>
  </si>
  <si>
    <t>UE9KD3M6TM</t>
  </si>
  <si>
    <t>UE71A3FDTW</t>
  </si>
  <si>
    <t>UE7IA3FDTW</t>
  </si>
  <si>
    <t>UEBAY3R7F3</t>
  </si>
  <si>
    <t>UFK86Q6JY</t>
  </si>
  <si>
    <t>63N8KEDMMC5</t>
  </si>
  <si>
    <t>UF4QO6EDDE</t>
  </si>
  <si>
    <t>UF4HM6FIAG</t>
  </si>
  <si>
    <t>UF5MS6R260</t>
  </si>
  <si>
    <t>UF56L6Q8TD</t>
  </si>
  <si>
    <t>UA69R3DX27</t>
  </si>
  <si>
    <t>UE65Q3S7TI</t>
  </si>
  <si>
    <t>9TH MAY</t>
  </si>
  <si>
    <t>UEB2T3Y0S9</t>
  </si>
  <si>
    <t>UE5RI33TBL</t>
  </si>
  <si>
    <t>UEG7Q4QTGM</t>
  </si>
  <si>
    <t>UER4A6HDTL/REF</t>
  </si>
  <si>
    <t>27TH MAY</t>
  </si>
  <si>
    <t>UF8OT7CSVQ</t>
  </si>
  <si>
    <t>8/6/26</t>
  </si>
  <si>
    <t>UF8857ABBD</t>
  </si>
  <si>
    <t>UF85G7FOUS</t>
  </si>
  <si>
    <t>UF7V7F0G9</t>
  </si>
  <si>
    <t>UF81A7357T</t>
  </si>
  <si>
    <t>..'8/6/26</t>
  </si>
  <si>
    <t>UF65V6X8RL</t>
  </si>
  <si>
    <t>6/6/26</t>
  </si>
  <si>
    <t>UF6RP6ZWZE</t>
  </si>
  <si>
    <t>UF6956V43Z</t>
  </si>
  <si>
    <t>UF5R46BAW7</t>
  </si>
  <si>
    <t>5/6/26</t>
  </si>
  <si>
    <t>UF59R6TF1F</t>
  </si>
  <si>
    <t>UF5U908YXY</t>
  </si>
  <si>
    <t>UF5LR6BG7L</t>
  </si>
  <si>
    <t>UF5K86Q6JY</t>
  </si>
  <si>
    <t>UF52M6Z9CY</t>
  </si>
  <si>
    <t>UFSBOJM8O</t>
  </si>
  <si>
    <t>UF5OF6RML6</t>
  </si>
  <si>
    <t>0757079026</t>
  </si>
  <si>
    <t>UF4PY6FO4F</t>
  </si>
  <si>
    <t>UF7D37OJMW</t>
  </si>
  <si>
    <t>7/6/26</t>
  </si>
  <si>
    <t>UF75K76FE5</t>
  </si>
  <si>
    <t>DENNIS OWINO</t>
  </si>
  <si>
    <t>0712299080</t>
  </si>
  <si>
    <t>MRENJE CHRISANTHUS</t>
  </si>
  <si>
    <t>0794033100</t>
  </si>
  <si>
    <t>TIMOTHU KURIA</t>
  </si>
  <si>
    <t>0797778633</t>
  </si>
  <si>
    <t>29/5/26</t>
  </si>
  <si>
    <t>UE56L6Q8TD</t>
  </si>
  <si>
    <t>UF1IE6FG0D</t>
  </si>
  <si>
    <t>1/6/26</t>
  </si>
  <si>
    <t>UEP4861MFO</t>
  </si>
  <si>
    <t>25/5/26</t>
  </si>
  <si>
    <t>UER195IQ02</t>
  </si>
  <si>
    <t>27/5/26</t>
  </si>
  <si>
    <t>7TH MAY/13JUNE</t>
  </si>
  <si>
    <t>UF9RI75SSE</t>
  </si>
  <si>
    <t>UF9IV7DYVG</t>
  </si>
  <si>
    <t>UFEOH7KPRZ</t>
  </si>
  <si>
    <t>14/6/26</t>
  </si>
  <si>
    <t>UFE7Q87L0Y</t>
  </si>
  <si>
    <t>UF2LX684RS</t>
  </si>
  <si>
    <t>UF319D8JQ</t>
  </si>
  <si>
    <t>UFAAY7348Q</t>
  </si>
  <si>
    <t>UE653S7TI</t>
  </si>
  <si>
    <t>UF52T6NYNP/UF2T84LTU</t>
  </si>
  <si>
    <t>5/6/26/19TH JUNE</t>
  </si>
  <si>
    <t>UF4B16RRQR</t>
  </si>
  <si>
    <t>4TH JUNE</t>
  </si>
  <si>
    <t>UFJLO814KP</t>
  </si>
  <si>
    <t>UE65Q33S7TI</t>
  </si>
  <si>
    <t>24/6/26</t>
  </si>
  <si>
    <t>UE6I74E2FD</t>
  </si>
  <si>
    <t>JULY</t>
  </si>
  <si>
    <t xml:space="preserve">                                                                        JULY 2026</t>
  </si>
  <si>
    <t>UFU199HIHJ</t>
  </si>
  <si>
    <t>30/06/2026</t>
  </si>
  <si>
    <t>UG447ASGZV</t>
  </si>
  <si>
    <t>UG2HM9QX0V</t>
  </si>
  <si>
    <t>02/072026</t>
  </si>
  <si>
    <t>S3OCZEBB1D6</t>
  </si>
  <si>
    <t>UG4QO9SELK</t>
  </si>
  <si>
    <t>MOMANYI KENNEDY</t>
  </si>
  <si>
    <t>0114982450</t>
  </si>
  <si>
    <t>UG5U91LAK5</t>
  </si>
  <si>
    <t>UG46C9MF36</t>
  </si>
  <si>
    <t>UG5KDA7TVQ</t>
  </si>
  <si>
    <t>UG5LXA0W9G</t>
  </si>
  <si>
    <t>TIMOTHY KURIA</t>
  </si>
  <si>
    <t>UGA7VB7V16</t>
  </si>
  <si>
    <t>UG90TAWF2J</t>
  </si>
  <si>
    <t>UG9OVAY5XZ</t>
  </si>
  <si>
    <t>UFP1F97N0X</t>
  </si>
  <si>
    <t>UG6OHA3B8A</t>
  </si>
  <si>
    <t>UGC7QBBRTE</t>
  </si>
  <si>
    <t>UF64J7V7BT</t>
  </si>
  <si>
    <t>UGC13AU5VS</t>
  </si>
  <si>
    <t>12/07/2-26</t>
  </si>
  <si>
    <t>UG1RI9RL0D</t>
  </si>
  <si>
    <t>UG1K89S0O8</t>
  </si>
  <si>
    <t>UG16L9R6P2</t>
  </si>
  <si>
    <t>UG3BLAGQQM/UG2BLA9I9I</t>
  </si>
  <si>
    <t>UG4DIA64O7</t>
  </si>
  <si>
    <t>UG59RA75L2</t>
  </si>
  <si>
    <t>UG65VAFFWG</t>
  </si>
  <si>
    <t>UG6I9A7R4J</t>
  </si>
  <si>
    <t>UG7R49UD7O</t>
  </si>
  <si>
    <t>UG75QB0539</t>
  </si>
  <si>
    <t>UG7IAAGD95</t>
  </si>
  <si>
    <t>UG885ARKSI</t>
  </si>
  <si>
    <t>UG995APBSD</t>
  </si>
  <si>
    <t>UG91VATP1C</t>
  </si>
  <si>
    <t>UGASG374MJ</t>
  </si>
  <si>
    <t>UG4MSA2FBQ</t>
  </si>
  <si>
    <t>24TH</t>
  </si>
  <si>
    <t>UG5RPAGCZ1</t>
  </si>
  <si>
    <t>AUGUST</t>
  </si>
  <si>
    <t>UGQIE0XXD9</t>
  </si>
  <si>
    <t>26/07/2026</t>
  </si>
  <si>
    <t>6/19/2026/21/07/2026</t>
  </si>
  <si>
    <t>6/26/2026/26.07.2026</t>
  </si>
  <si>
    <t xml:space="preserve">UG1A2A361F/UGUA21GNDU </t>
  </si>
  <si>
    <t>7/1/2026/ 30/07/2026</t>
  </si>
  <si>
    <t xml:space="preserve">UG5BDP7VVQ </t>
  </si>
  <si>
    <t>05.07.2026</t>
  </si>
  <si>
    <t>UG3B1A7NIY/UGVB11DHTK</t>
  </si>
  <si>
    <t>3/7/2026/31.07.2026</t>
  </si>
  <si>
    <t>UG3OVAY4XZ / UGVPY0Z9AA</t>
  </si>
  <si>
    <t>09.07.2026/31.07.2026</t>
  </si>
  <si>
    <t xml:space="preserve">UH16C0QK4J </t>
  </si>
  <si>
    <t>01.08.2026</t>
  </si>
  <si>
    <t>UH16L19GK1</t>
  </si>
  <si>
    <t>UH2M51MVUP</t>
  </si>
  <si>
    <t>02.08.2026</t>
  </si>
  <si>
    <t>UH2BL1VRQ6</t>
  </si>
  <si>
    <t>UH3HM1D4NO</t>
  </si>
  <si>
    <t>03.08.2026</t>
  </si>
  <si>
    <t>UH3LX1BJGF</t>
  </si>
  <si>
    <t>UH3QO19DX4</t>
  </si>
  <si>
    <t>UH39R1M570</t>
  </si>
  <si>
    <t>UG52TA5MJ5/UG42TA0U7J/ UGV2T14LO3</t>
  </si>
  <si>
    <t>7/8/2026/31.07.2026</t>
  </si>
  <si>
    <t xml:space="preserve">UFSIZ905LG/ UGVDS1H73X/ UGJDX1H72X </t>
  </si>
  <si>
    <t>6/29/2026/31.07.2026/17.07.2026</t>
  </si>
  <si>
    <t xml:space="preserve"> H5</t>
  </si>
  <si>
    <t xml:space="preserve">UH5U933AA3 </t>
  </si>
  <si>
    <t>05.08.2026</t>
  </si>
  <si>
    <t xml:space="preserve">UH5SB3HGEF </t>
  </si>
  <si>
    <t xml:space="preserve">UH5IA1SDNQ </t>
  </si>
  <si>
    <t>DUNCAN CHERUIYOT</t>
  </si>
  <si>
    <t>UH5H61UK5KV</t>
  </si>
  <si>
    <t>UH5KD1T9K3</t>
  </si>
  <si>
    <t>UH5K81TP8D</t>
  </si>
  <si>
    <t xml:space="preserve">UH6R41CF6K </t>
  </si>
  <si>
    <t>06.08.2026</t>
  </si>
  <si>
    <t xml:space="preserve">UH65V1YCZQ </t>
  </si>
  <si>
    <t>UH5591IKKV / UH8OH1WPAA</t>
  </si>
  <si>
    <t>05.08.2026/ 8/8/2026</t>
  </si>
  <si>
    <t xml:space="preserve">UH8852DRS8 </t>
  </si>
  <si>
    <t xml:space="preserve">UH90T2KI4F </t>
  </si>
  <si>
    <t>09.08.2026</t>
  </si>
  <si>
    <t>UH8OH1WPAA</t>
  </si>
  <si>
    <t>08.08.2026</t>
  </si>
  <si>
    <t xml:space="preserve">UGRHE0R2YO </t>
  </si>
  <si>
    <t>UH3RI1L2CG/UHASG4UJOP</t>
  </si>
  <si>
    <t>03.08.2026/ 10.08.2026</t>
  </si>
  <si>
    <t>UH6MS1XYHO</t>
  </si>
  <si>
    <t>UHBAY28RPS</t>
  </si>
  <si>
    <t>11.08.2026</t>
  </si>
  <si>
    <t>UFQ489RVM1/'UGQ481B48U/UGQ481B07T/UGQ481B497</t>
  </si>
  <si>
    <t xml:space="preserve">UHB132AW8F </t>
  </si>
  <si>
    <t xml:space="preserve">UH7I91VHXQ </t>
  </si>
  <si>
    <t>07.08.2026</t>
  </si>
  <si>
    <t>UH3RI1L2CG</t>
  </si>
  <si>
    <t xml:space="preserve">UH5OF1XFUM </t>
  </si>
  <si>
    <t xml:space="preserve">UGAD3ATQTA/ UGV2F1HN9L </t>
  </si>
  <si>
    <t>7/10/2026 / 31.07.2026</t>
  </si>
  <si>
    <t>UH6CP1VL4K</t>
  </si>
  <si>
    <t>UHM7Q43FUN</t>
  </si>
  <si>
    <t>UGLL0BO9VY</t>
  </si>
  <si>
    <t xml:space="preserve">UHF483PFP1 /UHP484VBGG </t>
  </si>
  <si>
    <t>8/15/2026/ 8/25/2026</t>
  </si>
  <si>
    <t xml:space="preserve">B3QFG936YO2 </t>
  </si>
  <si>
    <t>25.08.2026</t>
  </si>
  <si>
    <t xml:space="preserve">UG5SB1Y7LZ </t>
  </si>
  <si>
    <t>SEPTEMBER</t>
  </si>
  <si>
    <t>9/31/2026</t>
  </si>
  <si>
    <t xml:space="preserve">UHS1F4MR4Y </t>
  </si>
  <si>
    <t xml:space="preserve">UHS475C51Q </t>
  </si>
  <si>
    <t xml:space="preserve">0741776284  </t>
  </si>
  <si>
    <t>UHD7V35X1T</t>
  </si>
  <si>
    <t xml:space="preserve">13TH AUGUST </t>
  </si>
  <si>
    <t>UH76Q1T9QB</t>
  </si>
  <si>
    <t>7TH AUGUST</t>
  </si>
  <si>
    <t>0724680684</t>
  </si>
  <si>
    <t>UH8OV2JRN8</t>
  </si>
  <si>
    <t xml:space="preserve">8TH AUGUST </t>
  </si>
  <si>
    <t>12774 4th july</t>
  </si>
  <si>
    <t>07.05.2026</t>
  </si>
  <si>
    <t>04.07.2026</t>
  </si>
  <si>
    <t xml:space="preserve">UHT4A5IT17 </t>
  </si>
  <si>
    <t>29.08.2026</t>
  </si>
  <si>
    <t>UH11917NP2</t>
  </si>
  <si>
    <t>1ST AUGUST</t>
  </si>
  <si>
    <t xml:space="preserve">                                                                        AUGUST  2026</t>
  </si>
  <si>
    <t>0723316248/0769953112</t>
  </si>
  <si>
    <t xml:space="preserve">UI2LR4EJM1 </t>
  </si>
  <si>
    <t>UI1PY4NE9T</t>
  </si>
  <si>
    <t>UHML03B7OU</t>
  </si>
  <si>
    <t>UI1K84X74N</t>
  </si>
  <si>
    <t xml:space="preserve">UI1A25BNYC </t>
  </si>
  <si>
    <t xml:space="preserve">UH12T1ANVH/UHI2T35MPT </t>
  </si>
  <si>
    <t xml:space="preserve">UI16L4Y3KD </t>
  </si>
  <si>
    <t xml:space="preserve">UI347608T7 </t>
  </si>
  <si>
    <t>01.08.2026/18TH.08.2026</t>
  </si>
  <si>
    <t xml:space="preserve">UI4RI5C4ZM </t>
  </si>
  <si>
    <t xml:space="preserve">UI5SB52NPM </t>
  </si>
  <si>
    <t xml:space="preserve">UI37V5MSAS </t>
  </si>
  <si>
    <t xml:space="preserve">UI5BL5XXPQ </t>
  </si>
  <si>
    <t xml:space="preserve">UI5MS5DNX8 </t>
  </si>
  <si>
    <t xml:space="preserve">UI55V5DG2U </t>
  </si>
  <si>
    <t xml:space="preserve">UI2B15B29P </t>
  </si>
  <si>
    <t xml:space="preserve">UI5QO52GIJ </t>
  </si>
  <si>
    <t xml:space="preserve">UI55952R3B </t>
  </si>
  <si>
    <t xml:space="preserve">UI56Q56PND </t>
  </si>
  <si>
    <t xml:space="preserve">UI5R44SF2A </t>
  </si>
  <si>
    <t xml:space="preserve">UI6IA5I09Z </t>
  </si>
  <si>
    <t>UI69R55H9QF</t>
  </si>
  <si>
    <t xml:space="preserve">UI66C4X8RB </t>
  </si>
  <si>
    <t xml:space="preserve">UI62F5TJYC </t>
  </si>
  <si>
    <t>UI3HM50EK2</t>
  </si>
  <si>
    <t xml:space="preserve">UI6KD5HQEV </t>
  </si>
  <si>
    <t xml:space="preserve">UI9LX5J6TI </t>
  </si>
  <si>
    <t xml:space="preserve">UI9AY5LSS2 </t>
  </si>
  <si>
    <t xml:space="preserve">UIA0T6A83P </t>
  </si>
  <si>
    <t>9/10/2026</t>
  </si>
  <si>
    <t xml:space="preserve">UIAOH5RL8Q </t>
  </si>
  <si>
    <t xml:space="preserve">UIA8569NKM </t>
  </si>
  <si>
    <t xml:space="preserve">UI1DS56UCC </t>
  </si>
  <si>
    <t>9/1/2026</t>
  </si>
  <si>
    <t xml:space="preserve">UI5U94NPN1 </t>
  </si>
  <si>
    <t>9/5/2026</t>
  </si>
  <si>
    <t xml:space="preserve">UIAOI6M196 </t>
  </si>
  <si>
    <t xml:space="preserve">UIB2T5YYMF </t>
  </si>
  <si>
    <t>9/11/2026</t>
  </si>
  <si>
    <t xml:space="preserve">UI14A5VYD6 / UI14A5YH5Z / UI34A63Q07 /UIA4A6XSZO </t>
  </si>
  <si>
    <t>9/1/2026/ 9/1/2026/ 9/3/2026/ 10-09-2026</t>
  </si>
  <si>
    <t xml:space="preserve">UIE7Q6TC9R </t>
  </si>
  <si>
    <t>\9/14/2026</t>
  </si>
  <si>
    <t xml:space="preserve">UHTHE4JR76 </t>
  </si>
  <si>
    <t>8/29/2026</t>
  </si>
  <si>
    <t xml:space="preserve">UI2IJ4RLQO </t>
  </si>
  <si>
    <t>9/2/2026</t>
  </si>
  <si>
    <t xml:space="preserve">UI2I94UQ8Z </t>
  </si>
  <si>
    <t xml:space="preserve">UIC1361SK3 </t>
  </si>
  <si>
    <t>9/12/2026</t>
  </si>
  <si>
    <t xml:space="preserve">UI6CP5GTYO </t>
  </si>
  <si>
    <t>9/6/2026</t>
  </si>
  <si>
    <t>UI1OF50505OV</t>
  </si>
  <si>
    <t>9/01/2026</t>
  </si>
  <si>
    <t xml:space="preserve">UI2194W58B </t>
  </si>
  <si>
    <t>UI42M5NE86</t>
  </si>
  <si>
    <t>Rude-declined the call</t>
  </si>
  <si>
    <t>Not responding</t>
  </si>
  <si>
    <t>Sent Payment breakdown</t>
  </si>
  <si>
    <t>To clear utility fee tmrw</t>
  </si>
  <si>
    <t>25th sep</t>
  </si>
  <si>
    <t>Not reachable</t>
  </si>
  <si>
    <t>0708748835</t>
  </si>
  <si>
    <t>To send msg</t>
  </si>
  <si>
    <t xml:space="preserve">UI8OV65347 / UIAAJ5TNLY </t>
  </si>
  <si>
    <t>9/8/2026 / 9/10/2026</t>
  </si>
  <si>
    <t>JOSEPH NDUNG'U</t>
  </si>
  <si>
    <t>0725823244</t>
  </si>
  <si>
    <t>0706142428</t>
  </si>
  <si>
    <t>FRANCIS LOKITA</t>
  </si>
  <si>
    <t>9/24/2026</t>
  </si>
  <si>
    <t xml:space="preserve">UIO488IK1U / UIO488IOG7 </t>
  </si>
  <si>
    <t>NEW TENANT</t>
  </si>
  <si>
    <t>OCTOBER</t>
  </si>
  <si>
    <t xml:space="preserve">UJ12F8U6RM </t>
  </si>
  <si>
    <t>10/1/2026</t>
  </si>
  <si>
    <t xml:space="preserve">UJ1OF8JRAR </t>
  </si>
  <si>
    <t>8/22/2026</t>
  </si>
  <si>
    <t>UIML0712EZ</t>
  </si>
  <si>
    <t>9/22/2026</t>
  </si>
  <si>
    <t xml:space="preserve">UIP1F83840 </t>
  </si>
  <si>
    <t>9/25/2026</t>
  </si>
  <si>
    <t>IVY AYOO</t>
  </si>
  <si>
    <t>0748312457</t>
  </si>
  <si>
    <t xml:space="preserve">UJ2HM8HXV3 </t>
  </si>
  <si>
    <t>10/2/2026</t>
  </si>
  <si>
    <t>UJ3479OZ9B</t>
  </si>
  <si>
    <t>10/3/2026</t>
  </si>
  <si>
    <t xml:space="preserve">UJ2A294HGD </t>
  </si>
  <si>
    <t>UJ2PY8CMOE</t>
  </si>
  <si>
    <t xml:space="preserve">UJ2DS8YGUX </t>
  </si>
  <si>
    <t>UJ2K88NPM9</t>
  </si>
  <si>
    <t xml:space="preserve">UIR7B804VT </t>
  </si>
  <si>
    <t>9/27/2026</t>
  </si>
  <si>
    <t xml:space="preserve">UJ3198K7EX </t>
  </si>
  <si>
    <t xml:space="preserve">T3RY38KUA1S </t>
  </si>
  <si>
    <t xml:space="preserve">UJ3B18YDNL </t>
  </si>
  <si>
    <t xml:space="preserve">13RXP4YE2ZH </t>
  </si>
  <si>
    <t xml:space="preserve">UJ2698OB0D / UJ3698OVQD </t>
  </si>
  <si>
    <t>10/2/2026/ 10/3/2026</t>
  </si>
  <si>
    <t xml:space="preserve">UJ5BL9M2J1 </t>
  </si>
  <si>
    <t>10/5/2026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</si>
</sst>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color rgb="FF00B0F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 val="singleAccounting"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43" fontId="2" fillId="2" borderId="1" xfId="1" applyFont="1" applyFill="1" applyBorder="1" applyAlignment="1">
      <alignment horizontal="left"/>
    </xf>
    <xf numFmtId="0" fontId="4" fillId="2" borderId="1" xfId="0" applyFont="1" applyFill="1" applyBorder="1"/>
    <xf numFmtId="3" fontId="2" fillId="2" borderId="1" xfId="1" applyNumberFormat="1" applyFont="1" applyFill="1" applyBorder="1"/>
    <xf numFmtId="43" fontId="2" fillId="2" borderId="1" xfId="1" applyFont="1" applyFill="1" applyBorder="1"/>
    <xf numFmtId="43" fontId="2" fillId="0" borderId="1" xfId="1" applyFont="1" applyFill="1" applyBorder="1"/>
    <xf numFmtId="0" fontId="2" fillId="0" borderId="1" xfId="1" applyNumberFormat="1" applyFont="1" applyFill="1" applyBorder="1"/>
    <xf numFmtId="0" fontId="2" fillId="2" borderId="1" xfId="1" applyNumberFormat="1" applyFont="1" applyFill="1" applyBorder="1"/>
    <xf numFmtId="43" fontId="4" fillId="0" borderId="1" xfId="1" applyFont="1" applyFill="1" applyBorder="1"/>
    <xf numFmtId="43" fontId="4" fillId="2" borderId="1" xfId="1" applyFont="1" applyFill="1" applyBorder="1"/>
    <xf numFmtId="0" fontId="2" fillId="0" borderId="1" xfId="0" applyFont="1" applyBorder="1"/>
    <xf numFmtId="3" fontId="2" fillId="0" borderId="1" xfId="1" applyNumberFormat="1" applyFont="1" applyFill="1" applyBorder="1"/>
    <xf numFmtId="43" fontId="5" fillId="0" borderId="1" xfId="1" applyFont="1" applyFill="1" applyBorder="1"/>
    <xf numFmtId="0" fontId="5" fillId="0" borderId="1" xfId="0" applyFont="1" applyBorder="1"/>
    <xf numFmtId="3" fontId="5" fillId="0" borderId="1" xfId="1" applyNumberFormat="1" applyFont="1" applyFill="1" applyBorder="1"/>
    <xf numFmtId="0" fontId="5" fillId="0" borderId="1" xfId="1" applyNumberFormat="1" applyFont="1" applyFill="1" applyBorder="1"/>
    <xf numFmtId="0" fontId="5" fillId="0" borderId="1" xfId="0" quotePrefix="1" applyFont="1" applyBorder="1"/>
    <xf numFmtId="0" fontId="3" fillId="0" borderId="1" xfId="0" applyFont="1" applyBorder="1"/>
    <xf numFmtId="3" fontId="3" fillId="0" borderId="1" xfId="0" applyNumberFormat="1" applyFont="1" applyBorder="1"/>
    <xf numFmtId="43" fontId="2" fillId="0" borderId="1" xfId="1" applyFont="1" applyFill="1" applyBorder="1" applyAlignment="1">
      <alignment horizontal="right" wrapText="1"/>
    </xf>
    <xf numFmtId="43" fontId="2" fillId="0" borderId="1" xfId="1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49" fontId="3" fillId="0" borderId="1" xfId="0" quotePrefix="1" applyNumberFormat="1" applyFont="1" applyBorder="1"/>
    <xf numFmtId="43" fontId="3" fillId="0" borderId="1" xfId="1" applyFont="1" applyFill="1" applyBorder="1" applyAlignment="1">
      <alignment horizontal="right"/>
    </xf>
    <xf numFmtId="165" fontId="6" fillId="0" borderId="1" xfId="1" applyNumberFormat="1" applyFont="1" applyFill="1" applyBorder="1"/>
    <xf numFmtId="165" fontId="3" fillId="0" borderId="1" xfId="0" applyNumberFormat="1" applyFont="1" applyBorder="1"/>
    <xf numFmtId="0" fontId="3" fillId="0" borderId="1" xfId="0" quotePrefix="1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4" fontId="5" fillId="0" borderId="1" xfId="0" applyNumberFormat="1" applyFont="1" applyBorder="1"/>
    <xf numFmtId="43" fontId="3" fillId="0" borderId="1" xfId="0" applyNumberFormat="1" applyFont="1" applyBorder="1"/>
    <xf numFmtId="0" fontId="6" fillId="0" borderId="1" xfId="0" applyFont="1" applyBorder="1"/>
    <xf numFmtId="165" fontId="6" fillId="0" borderId="1" xfId="1" applyNumberFormat="1" applyFont="1" applyFill="1" applyBorder="1" applyAlignment="1">
      <alignment horizontal="right"/>
    </xf>
    <xf numFmtId="165" fontId="3" fillId="0" borderId="1" xfId="1" applyNumberFormat="1" applyFont="1" applyFill="1" applyBorder="1" applyAlignment="1">
      <alignment horizontal="right"/>
    </xf>
    <xf numFmtId="14" fontId="5" fillId="0" borderId="0" xfId="0" applyNumberFormat="1" applyFont="1"/>
    <xf numFmtId="49" fontId="6" fillId="0" borderId="1" xfId="0" applyNumberFormat="1" applyFont="1" applyBorder="1"/>
    <xf numFmtId="0" fontId="6" fillId="0" borderId="1" xfId="0" quotePrefix="1" applyFont="1" applyBorder="1" applyAlignment="1">
      <alignment horizontal="center"/>
    </xf>
    <xf numFmtId="0" fontId="6" fillId="2" borderId="1" xfId="0" applyFont="1" applyFill="1" applyBorder="1"/>
    <xf numFmtId="49" fontId="3" fillId="2" borderId="1" xfId="0" quotePrefix="1" applyNumberFormat="1" applyFont="1" applyFill="1" applyBorder="1"/>
    <xf numFmtId="165" fontId="6" fillId="2" borderId="1" xfId="1" applyNumberFormat="1" applyFont="1" applyFill="1" applyBorder="1" applyAlignment="1">
      <alignment horizontal="right"/>
    </xf>
    <xf numFmtId="165" fontId="6" fillId="2" borderId="1" xfId="1" applyNumberFormat="1" applyFont="1" applyFill="1" applyBorder="1"/>
    <xf numFmtId="14" fontId="5" fillId="2" borderId="1" xfId="0" applyNumberFormat="1" applyFont="1" applyFill="1" applyBorder="1"/>
    <xf numFmtId="43" fontId="3" fillId="2" borderId="1" xfId="0" applyNumberFormat="1" applyFont="1" applyFill="1" applyBorder="1"/>
    <xf numFmtId="0" fontId="0" fillId="2" borderId="0" xfId="0" applyFill="1"/>
    <xf numFmtId="14" fontId="3" fillId="0" borderId="0" xfId="0" applyNumberFormat="1" applyFont="1"/>
    <xf numFmtId="49" fontId="6" fillId="0" borderId="1" xfId="0" quotePrefix="1" applyNumberFormat="1" applyFont="1" applyBorder="1"/>
    <xf numFmtId="165" fontId="3" fillId="0" borderId="1" xfId="1" applyNumberFormat="1" applyFont="1" applyFill="1" applyBorder="1"/>
    <xf numFmtId="0" fontId="3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wrapText="1"/>
    </xf>
    <xf numFmtId="43" fontId="7" fillId="0" borderId="1" xfId="0" applyNumberFormat="1" applyFont="1" applyBorder="1"/>
    <xf numFmtId="3" fontId="0" fillId="0" borderId="0" xfId="0" applyNumberFormat="1"/>
    <xf numFmtId="0" fontId="8" fillId="0" borderId="1" xfId="0" applyFont="1" applyBorder="1"/>
    <xf numFmtId="49" fontId="3" fillId="0" borderId="1" xfId="0" applyNumberFormat="1" applyFont="1" applyBorder="1"/>
    <xf numFmtId="165" fontId="8" fillId="0" borderId="1" xfId="0" applyNumberFormat="1" applyFont="1" applyBorder="1" applyAlignment="1">
      <alignment horizontal="right"/>
    </xf>
    <xf numFmtId="43" fontId="8" fillId="0" borderId="1" xfId="0" applyNumberFormat="1" applyFont="1" applyBorder="1" applyAlignment="1">
      <alignment horizontal="right"/>
    </xf>
    <xf numFmtId="43" fontId="2" fillId="0" borderId="1" xfId="0" applyNumberFormat="1" applyFont="1" applyBorder="1" applyAlignment="1">
      <alignment horizontal="right"/>
    </xf>
    <xf numFmtId="43" fontId="2" fillId="0" borderId="1" xfId="0" applyNumberFormat="1" applyFont="1" applyBorder="1"/>
    <xf numFmtId="3" fontId="2" fillId="0" borderId="1" xfId="0" applyNumberFormat="1" applyFont="1" applyBorder="1"/>
    <xf numFmtId="43" fontId="2" fillId="0" borderId="1" xfId="0" applyNumberFormat="1" applyFont="1" applyBorder="1" applyAlignment="1">
      <alignment horizontal="left"/>
    </xf>
    <xf numFmtId="164" fontId="3" fillId="0" borderId="1" xfId="1" applyNumberFormat="1" applyFont="1" applyFill="1" applyBorder="1"/>
    <xf numFmtId="3" fontId="5" fillId="0" borderId="1" xfId="0" applyNumberFormat="1" applyFont="1" applyBorder="1"/>
    <xf numFmtId="165" fontId="9" fillId="0" borderId="1" xfId="1" applyNumberFormat="1" applyFont="1" applyFill="1" applyBorder="1"/>
    <xf numFmtId="165" fontId="5" fillId="0" borderId="1" xfId="1" applyNumberFormat="1" applyFont="1" applyFill="1" applyBorder="1"/>
    <xf numFmtId="3" fontId="3" fillId="2" borderId="1" xfId="0" applyNumberFormat="1" applyFont="1" applyFill="1" applyBorder="1"/>
    <xf numFmtId="0" fontId="10" fillId="2" borderId="1" xfId="0" applyFont="1" applyFill="1" applyBorder="1"/>
    <xf numFmtId="0" fontId="10" fillId="0" borderId="1" xfId="0" applyFont="1" applyBorder="1"/>
    <xf numFmtId="3" fontId="2" fillId="2" borderId="1" xfId="0" applyNumberFormat="1" applyFont="1" applyFill="1" applyBorder="1"/>
    <xf numFmtId="0" fontId="5" fillId="2" borderId="1" xfId="0" applyFont="1" applyFill="1" applyBorder="1"/>
    <xf numFmtId="165" fontId="2" fillId="0" borderId="2" xfId="1" applyNumberFormat="1" applyFont="1" applyFill="1" applyBorder="1"/>
    <xf numFmtId="3" fontId="5" fillId="2" borderId="1" xfId="0" applyNumberFormat="1" applyFont="1" applyFill="1" applyBorder="1"/>
    <xf numFmtId="3" fontId="5" fillId="2" borderId="1" xfId="0" applyNumberFormat="1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43" fontId="5" fillId="0" borderId="3" xfId="0" applyNumberFormat="1" applyFont="1" applyBorder="1"/>
    <xf numFmtId="14" fontId="5" fillId="0" borderId="1" xfId="1" applyNumberFormat="1" applyFont="1" applyFill="1" applyBorder="1"/>
    <xf numFmtId="14" fontId="3" fillId="2" borderId="1" xfId="1" applyNumberFormat="1" applyFont="1" applyFill="1" applyBorder="1"/>
    <xf numFmtId="14" fontId="5" fillId="2" borderId="1" xfId="1" applyNumberFormat="1" applyFont="1" applyFill="1" applyBorder="1"/>
    <xf numFmtId="14" fontId="3" fillId="0" borderId="1" xfId="0" applyNumberFormat="1" applyFont="1" applyBorder="1"/>
    <xf numFmtId="0" fontId="5" fillId="0" borderId="1" xfId="1" quotePrefix="1" applyNumberFormat="1" applyFont="1" applyFill="1" applyBorder="1"/>
    <xf numFmtId="0" fontId="3" fillId="0" borderId="4" xfId="0" applyFont="1" applyBorder="1"/>
    <xf numFmtId="0" fontId="3" fillId="3" borderId="1" xfId="0" applyFont="1" applyFill="1" applyBorder="1"/>
    <xf numFmtId="49" fontId="3" fillId="3" borderId="1" xfId="0" quotePrefix="1" applyNumberFormat="1" applyFont="1" applyFill="1" applyBorder="1"/>
    <xf numFmtId="165" fontId="6" fillId="3" borderId="1" xfId="1" applyNumberFormat="1" applyFont="1" applyFill="1" applyBorder="1" applyAlignment="1">
      <alignment horizontal="right"/>
    </xf>
    <xf numFmtId="165" fontId="6" fillId="3" borderId="1" xfId="1" applyNumberFormat="1" applyFont="1" applyFill="1" applyBorder="1"/>
    <xf numFmtId="165" fontId="3" fillId="3" borderId="1" xfId="0" applyNumberFormat="1" applyFont="1" applyFill="1" applyBorder="1"/>
    <xf numFmtId="17" fontId="3" fillId="3" borderId="1" xfId="0" applyNumberFormat="1" applyFont="1" applyFill="1" applyBorder="1" applyAlignment="1">
      <alignment horizontal="center"/>
    </xf>
    <xf numFmtId="14" fontId="5" fillId="3" borderId="1" xfId="0" applyNumberFormat="1" applyFont="1" applyFill="1" applyBorder="1"/>
    <xf numFmtId="43" fontId="3" fillId="3" borderId="1" xfId="0" applyNumberFormat="1" applyFont="1" applyFill="1" applyBorder="1"/>
    <xf numFmtId="49" fontId="3" fillId="0" borderId="4" xfId="0" quotePrefix="1" applyNumberFormat="1" applyFont="1" applyBorder="1"/>
    <xf numFmtId="14" fontId="3" fillId="0" borderId="1" xfId="0" quotePrefix="1" applyNumberFormat="1" applyFont="1" applyBorder="1" applyAlignment="1">
      <alignment horizontal="center"/>
    </xf>
    <xf numFmtId="14" fontId="6" fillId="0" borderId="1" xfId="0" quotePrefix="1" applyNumberFormat="1" applyFont="1" applyBorder="1" applyAlignment="1">
      <alignment horizontal="center"/>
    </xf>
    <xf numFmtId="0" fontId="0" fillId="0" borderId="1" xfId="0" applyBorder="1"/>
    <xf numFmtId="165" fontId="6" fillId="4" borderId="1" xfId="1" applyNumberFormat="1" applyFont="1" applyFill="1" applyBorder="1"/>
    <xf numFmtId="0" fontId="5" fillId="0" borderId="1" xfId="0" quotePrefix="1" applyFont="1" applyBorder="1" applyAlignment="1">
      <alignment horizontal="center"/>
    </xf>
    <xf numFmtId="14" fontId="5" fillId="0" borderId="1" xfId="0" quotePrefix="1" applyNumberFormat="1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8" fillId="0" borderId="1" xfId="0" quotePrefix="1" applyNumberFormat="1" applyFont="1" applyBorder="1" applyAlignment="1">
      <alignment horizontal="center"/>
    </xf>
    <xf numFmtId="0" fontId="5" fillId="2" borderId="1" xfId="0" quotePrefix="1" applyFont="1" applyFill="1" applyBorder="1" applyAlignment="1">
      <alignment horizontal="center"/>
    </xf>
    <xf numFmtId="14" fontId="5" fillId="2" borderId="1" xfId="0" quotePrefix="1" applyNumberFormat="1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CB3E-5304-4711-8A3C-8E9842BFA3C5}">
  <sheetPr>
    <pageSetUpPr fitToPage="1"/>
  </sheetPr>
  <dimension ref="A1:S70"/>
  <sheetViews>
    <sheetView zoomScale="96" zoomScaleNormal="96" workbookViewId="0">
      <selection activeCell="A11" sqref="A11:XFD11"/>
    </sheetView>
  </sheetViews>
  <sheetFormatPr defaultColWidth="9" defaultRowHeight="15"/>
  <cols>
    <col min="2" max="2" width="16.7109375" customWidth="1"/>
    <col min="3" max="3" width="15.5703125" customWidth="1"/>
    <col min="5" max="6" width="9.7109375" customWidth="1"/>
    <col min="7" max="7" width="9.42578125" customWidth="1"/>
    <col min="8" max="8" width="10" customWidth="1"/>
    <col min="9" max="9" width="11.28515625" customWidth="1"/>
    <col min="10" max="10" width="36" customWidth="1"/>
    <col min="11" max="11" width="27.7109375" customWidth="1"/>
    <col min="12" max="12" width="8.28515625" customWidth="1"/>
    <col min="13" max="13" width="13.7109375" customWidth="1"/>
    <col min="14" max="14" width="16.5703125" customWidth="1"/>
    <col min="15" max="15" width="21.28515625" customWidth="1"/>
    <col min="16" max="18" width="0" hidden="1" customWidth="1"/>
  </cols>
  <sheetData>
    <row r="1" spans="1:15">
      <c r="A1" s="1"/>
      <c r="B1" s="2"/>
      <c r="C1" s="3" t="s">
        <v>0</v>
      </c>
      <c r="D1" s="4"/>
      <c r="E1" s="2"/>
      <c r="F1" s="2"/>
      <c r="G1" s="5"/>
      <c r="H1" s="6"/>
      <c r="I1" s="7"/>
      <c r="J1" s="8"/>
      <c r="K1" s="8"/>
      <c r="L1" s="9"/>
      <c r="M1" s="10"/>
      <c r="N1" s="11"/>
      <c r="O1" s="11"/>
    </row>
    <row r="2" spans="1:15">
      <c r="A2" s="1" t="s">
        <v>1</v>
      </c>
      <c r="B2" s="1"/>
      <c r="C2" s="1"/>
      <c r="D2" s="1"/>
      <c r="E2" s="6"/>
      <c r="F2" s="6"/>
      <c r="G2" s="5"/>
      <c r="H2" s="6"/>
      <c r="I2" s="7"/>
      <c r="J2" s="8"/>
      <c r="K2" s="8"/>
      <c r="L2" s="9"/>
      <c r="M2" s="10"/>
      <c r="N2" s="11"/>
      <c r="O2" s="11"/>
    </row>
    <row r="3" spans="1:15">
      <c r="A3" s="104" t="s">
        <v>2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"/>
      <c r="O3" s="1"/>
    </row>
    <row r="4" spans="1:15">
      <c r="A4" s="12"/>
      <c r="B4" s="12"/>
      <c r="C4" s="12"/>
      <c r="D4" s="7"/>
      <c r="E4" s="7"/>
      <c r="F4" s="7"/>
      <c r="G4" s="13"/>
      <c r="H4" s="7"/>
      <c r="I4" s="7"/>
      <c r="J4" s="8" t="s">
        <v>3</v>
      </c>
      <c r="K4" s="8"/>
      <c r="L4" s="8"/>
      <c r="M4" s="14"/>
      <c r="N4" s="14"/>
      <c r="O4" s="14"/>
    </row>
    <row r="5" spans="1:15">
      <c r="A5" s="15" t="s">
        <v>34</v>
      </c>
      <c r="B5" s="15"/>
      <c r="C5" s="15"/>
      <c r="D5" s="14"/>
      <c r="E5" s="14"/>
      <c r="F5" s="14"/>
      <c r="G5" s="16"/>
      <c r="H5" s="14"/>
      <c r="I5" s="14"/>
      <c r="J5" s="17" t="s">
        <v>4</v>
      </c>
      <c r="K5" s="17"/>
      <c r="L5" s="17"/>
      <c r="M5" s="14"/>
      <c r="N5" s="14"/>
      <c r="O5" s="14"/>
    </row>
    <row r="6" spans="1:15">
      <c r="A6" s="15" t="s">
        <v>5</v>
      </c>
      <c r="B6" s="18"/>
      <c r="C6" s="15"/>
      <c r="D6" s="19"/>
      <c r="E6" s="19"/>
      <c r="F6" s="19"/>
      <c r="G6" s="20"/>
      <c r="H6" s="19"/>
      <c r="I6" s="14" t="s">
        <v>6</v>
      </c>
      <c r="J6" s="17" t="s">
        <v>197</v>
      </c>
      <c r="K6" s="17"/>
      <c r="L6" s="17"/>
      <c r="M6" s="14"/>
      <c r="N6" s="14"/>
      <c r="O6" s="14"/>
    </row>
    <row r="7" spans="1:15">
      <c r="A7" s="15"/>
      <c r="B7" s="15"/>
      <c r="C7" s="15"/>
      <c r="D7" s="19"/>
      <c r="E7" s="19"/>
      <c r="F7" s="19"/>
      <c r="G7" s="20"/>
      <c r="H7" s="19"/>
      <c r="I7" s="14" t="s">
        <v>7</v>
      </c>
      <c r="J7" s="78" t="s">
        <v>198</v>
      </c>
      <c r="K7" s="78"/>
      <c r="L7" s="17"/>
      <c r="M7" s="14"/>
      <c r="N7" s="14"/>
      <c r="O7" s="14"/>
    </row>
    <row r="8" spans="1:15" ht="24.75">
      <c r="A8" s="12" t="s">
        <v>8</v>
      </c>
      <c r="B8" s="12" t="s">
        <v>9</v>
      </c>
      <c r="C8" s="12" t="s">
        <v>10</v>
      </c>
      <c r="D8" s="21" t="s">
        <v>11</v>
      </c>
      <c r="E8" s="22" t="s">
        <v>12</v>
      </c>
      <c r="F8" s="22" t="s">
        <v>163</v>
      </c>
      <c r="G8" s="13" t="s">
        <v>13</v>
      </c>
      <c r="H8" s="23" t="s">
        <v>14</v>
      </c>
      <c r="I8" s="7" t="s">
        <v>15</v>
      </c>
      <c r="J8" s="12" t="s">
        <v>16</v>
      </c>
      <c r="K8" s="12" t="s">
        <v>207</v>
      </c>
      <c r="L8" s="12" t="s">
        <v>17</v>
      </c>
      <c r="M8" s="7" t="s">
        <v>18</v>
      </c>
      <c r="N8" s="7" t="s">
        <v>19</v>
      </c>
      <c r="O8" s="7" t="s">
        <v>20</v>
      </c>
    </row>
    <row r="9" spans="1:15">
      <c r="A9" s="19" t="s">
        <v>35</v>
      </c>
      <c r="B9" s="19" t="s">
        <v>45</v>
      </c>
      <c r="C9" s="24" t="s">
        <v>46</v>
      </c>
      <c r="D9" s="25"/>
      <c r="E9" s="26">
        <v>10100</v>
      </c>
      <c r="F9" s="26">
        <v>459</v>
      </c>
      <c r="G9" s="27"/>
      <c r="H9" s="27">
        <f>D9+E9+G9+F9</f>
        <v>10559</v>
      </c>
      <c r="I9" s="26">
        <f>10559</f>
        <v>10559</v>
      </c>
      <c r="J9" s="93" t="s">
        <v>167</v>
      </c>
      <c r="K9" s="93" t="s">
        <v>212</v>
      </c>
      <c r="L9" s="29" t="s">
        <v>21</v>
      </c>
      <c r="M9" s="27">
        <f>H9-I9</f>
        <v>0</v>
      </c>
      <c r="N9" s="30"/>
      <c r="O9" s="31"/>
    </row>
    <row r="10" spans="1:15">
      <c r="A10" s="32" t="s">
        <v>37</v>
      </c>
      <c r="B10" s="32" t="s">
        <v>47</v>
      </c>
      <c r="C10" s="24" t="s">
        <v>48</v>
      </c>
      <c r="D10" s="33"/>
      <c r="E10" s="26">
        <v>7100</v>
      </c>
      <c r="F10" s="26">
        <v>578</v>
      </c>
      <c r="G10" s="27"/>
      <c r="H10" s="27">
        <f t="shared" ref="H10:H56" si="0">D10+E10+G10+F10</f>
        <v>7678</v>
      </c>
      <c r="I10" s="26">
        <f>7678</f>
        <v>7678</v>
      </c>
      <c r="J10" s="93" t="s">
        <v>165</v>
      </c>
      <c r="K10" s="93" t="s">
        <v>213</v>
      </c>
      <c r="L10" s="29" t="s">
        <v>21</v>
      </c>
      <c r="M10" s="27">
        <f t="shared" ref="M10:M56" si="1">H10-I10</f>
        <v>0</v>
      </c>
      <c r="N10" s="30"/>
      <c r="O10" s="31"/>
    </row>
    <row r="11" spans="1:15">
      <c r="A11" s="19" t="s">
        <v>36</v>
      </c>
      <c r="B11" s="32" t="s">
        <v>211</v>
      </c>
      <c r="C11" s="24"/>
      <c r="D11" s="34"/>
      <c r="E11" s="26"/>
      <c r="F11" s="26"/>
      <c r="G11" s="27"/>
      <c r="H11" s="27">
        <f t="shared" si="0"/>
        <v>0</v>
      </c>
      <c r="I11" s="26"/>
      <c r="J11" s="93"/>
      <c r="K11" s="93"/>
      <c r="L11" s="29" t="s">
        <v>21</v>
      </c>
      <c r="M11" s="27">
        <f t="shared" si="1"/>
        <v>0</v>
      </c>
      <c r="N11" s="30" t="s">
        <v>205</v>
      </c>
      <c r="O11" s="31"/>
    </row>
    <row r="12" spans="1:15">
      <c r="A12" s="19" t="s">
        <v>38</v>
      </c>
      <c r="B12" s="19" t="s">
        <v>24</v>
      </c>
      <c r="C12" s="24" t="s">
        <v>49</v>
      </c>
      <c r="D12" s="34"/>
      <c r="E12" s="26">
        <v>10100</v>
      </c>
      <c r="F12" s="26">
        <v>300</v>
      </c>
      <c r="G12" s="27"/>
      <c r="H12" s="27">
        <f t="shared" si="0"/>
        <v>10400</v>
      </c>
      <c r="I12" s="26">
        <f>10627</f>
        <v>10627</v>
      </c>
      <c r="J12" s="93" t="s">
        <v>195</v>
      </c>
      <c r="K12" s="93"/>
      <c r="L12" s="29" t="s">
        <v>21</v>
      </c>
      <c r="M12" s="27">
        <f t="shared" si="1"/>
        <v>-227</v>
      </c>
      <c r="N12" s="35"/>
      <c r="O12" s="31"/>
    </row>
    <row r="13" spans="1:15">
      <c r="A13" s="19" t="s">
        <v>39</v>
      </c>
      <c r="B13" s="32" t="s">
        <v>50</v>
      </c>
      <c r="C13" s="36" t="s">
        <v>51</v>
      </c>
      <c r="D13" s="33"/>
      <c r="E13" s="26">
        <v>10100</v>
      </c>
      <c r="F13" s="26">
        <v>0</v>
      </c>
      <c r="G13" s="27"/>
      <c r="H13" s="27">
        <f t="shared" si="0"/>
        <v>10100</v>
      </c>
      <c r="I13" s="26">
        <f>10100</f>
        <v>10100</v>
      </c>
      <c r="J13" s="93" t="s">
        <v>194</v>
      </c>
      <c r="K13" s="93"/>
      <c r="L13" s="29" t="s">
        <v>21</v>
      </c>
      <c r="M13" s="27">
        <f t="shared" si="1"/>
        <v>0</v>
      </c>
      <c r="N13" s="30"/>
      <c r="O13" s="31"/>
    </row>
    <row r="14" spans="1:15">
      <c r="A14" s="19" t="s">
        <v>40</v>
      </c>
      <c r="B14" s="19" t="s">
        <v>52</v>
      </c>
      <c r="C14" s="24" t="s">
        <v>53</v>
      </c>
      <c r="D14" s="34"/>
      <c r="E14" s="26">
        <v>10100</v>
      </c>
      <c r="F14" s="26">
        <v>1050</v>
      </c>
      <c r="G14" s="27"/>
      <c r="H14" s="27">
        <f t="shared" si="0"/>
        <v>11150</v>
      </c>
      <c r="I14" s="26">
        <f>11205</f>
        <v>11205</v>
      </c>
      <c r="J14" s="95" t="s">
        <v>196</v>
      </c>
      <c r="K14" s="95"/>
      <c r="L14" s="29" t="s">
        <v>21</v>
      </c>
      <c r="M14" s="27">
        <f t="shared" si="1"/>
        <v>-55</v>
      </c>
      <c r="N14" s="30"/>
      <c r="O14" s="31"/>
    </row>
    <row r="15" spans="1:15" s="44" customFormat="1">
      <c r="A15" s="38" t="s">
        <v>41</v>
      </c>
      <c r="B15" s="2" t="s">
        <v>54</v>
      </c>
      <c r="C15" s="39" t="s">
        <v>55</v>
      </c>
      <c r="D15" s="40"/>
      <c r="E15" s="41">
        <v>10100</v>
      </c>
      <c r="F15" s="41">
        <v>1200</v>
      </c>
      <c r="G15" s="27"/>
      <c r="H15" s="27">
        <f t="shared" si="0"/>
        <v>11300</v>
      </c>
      <c r="I15" s="26">
        <f>11460</f>
        <v>11460</v>
      </c>
      <c r="J15" s="93" t="s">
        <v>196</v>
      </c>
      <c r="K15" s="93"/>
      <c r="L15" s="29" t="s">
        <v>21</v>
      </c>
      <c r="M15" s="27">
        <f t="shared" si="1"/>
        <v>-160</v>
      </c>
      <c r="N15" s="42"/>
      <c r="O15" s="43"/>
    </row>
    <row r="16" spans="1:15">
      <c r="A16" s="19" t="s">
        <v>42</v>
      </c>
      <c r="B16" s="19" t="s">
        <v>56</v>
      </c>
      <c r="C16" s="24" t="s">
        <v>57</v>
      </c>
      <c r="D16" s="34"/>
      <c r="E16" s="26">
        <v>12100</v>
      </c>
      <c r="F16" s="26">
        <v>289</v>
      </c>
      <c r="G16" s="27"/>
      <c r="H16" s="27">
        <f t="shared" si="0"/>
        <v>12389</v>
      </c>
      <c r="I16" s="26">
        <f>12389</f>
        <v>12389</v>
      </c>
      <c r="J16" s="95" t="s">
        <v>191</v>
      </c>
      <c r="K16" s="95" t="s">
        <v>222</v>
      </c>
      <c r="L16" s="29" t="s">
        <v>21</v>
      </c>
      <c r="M16" s="27">
        <f t="shared" si="1"/>
        <v>0</v>
      </c>
      <c r="N16" s="15"/>
      <c r="O16" s="31"/>
    </row>
    <row r="17" spans="1:17">
      <c r="A17" s="19" t="s">
        <v>43</v>
      </c>
      <c r="B17" s="19" t="s">
        <v>58</v>
      </c>
      <c r="C17" s="24" t="s">
        <v>59</v>
      </c>
      <c r="D17" s="34"/>
      <c r="E17" s="26">
        <v>14100</v>
      </c>
      <c r="F17" s="26">
        <v>900</v>
      </c>
      <c r="G17" s="27"/>
      <c r="H17" s="27">
        <f t="shared" si="0"/>
        <v>15000</v>
      </c>
      <c r="I17" s="26">
        <f>13000</f>
        <v>13000</v>
      </c>
      <c r="J17" s="93" t="s">
        <v>200</v>
      </c>
      <c r="K17" s="93"/>
      <c r="L17" s="29" t="s">
        <v>21</v>
      </c>
      <c r="M17" s="27">
        <f t="shared" si="1"/>
        <v>2000</v>
      </c>
      <c r="N17" s="30"/>
      <c r="O17" s="31"/>
    </row>
    <row r="18" spans="1:17">
      <c r="A18" s="19" t="s">
        <v>44</v>
      </c>
      <c r="B18" s="19" t="s">
        <v>60</v>
      </c>
      <c r="C18" s="24" t="s">
        <v>61</v>
      </c>
      <c r="D18" s="34"/>
      <c r="E18" s="26">
        <v>10100</v>
      </c>
      <c r="F18" s="26">
        <v>450</v>
      </c>
      <c r="G18" s="27"/>
      <c r="H18" s="27">
        <f t="shared" si="0"/>
        <v>10550</v>
      </c>
      <c r="I18" s="26">
        <f>10627</f>
        <v>10627</v>
      </c>
      <c r="J18" s="93" t="s">
        <v>185</v>
      </c>
      <c r="K18" s="93" t="s">
        <v>216</v>
      </c>
      <c r="L18" s="29" t="s">
        <v>21</v>
      </c>
      <c r="M18" s="27">
        <f t="shared" si="1"/>
        <v>-77</v>
      </c>
      <c r="N18" s="45"/>
      <c r="O18" s="31"/>
    </row>
    <row r="19" spans="1:17">
      <c r="A19" s="32" t="s">
        <v>62</v>
      </c>
      <c r="B19" s="32" t="s">
        <v>271</v>
      </c>
      <c r="C19" s="46" t="s">
        <v>64</v>
      </c>
      <c r="D19" s="33"/>
      <c r="E19" s="26">
        <v>9100</v>
      </c>
      <c r="F19" s="26">
        <v>150</v>
      </c>
      <c r="G19" s="27"/>
      <c r="H19" s="27">
        <f t="shared" si="0"/>
        <v>9250</v>
      </c>
      <c r="I19" s="47"/>
      <c r="J19" s="93"/>
      <c r="K19" s="93"/>
      <c r="L19" s="29" t="s">
        <v>21</v>
      </c>
      <c r="M19" s="27">
        <f t="shared" si="1"/>
        <v>9250</v>
      </c>
      <c r="N19" s="15"/>
      <c r="O19" s="31"/>
    </row>
    <row r="20" spans="1:17">
      <c r="A20" s="19" t="s">
        <v>65</v>
      </c>
      <c r="B20" s="19" t="s">
        <v>66</v>
      </c>
      <c r="C20" s="24" t="s">
        <v>67</v>
      </c>
      <c r="D20" s="33"/>
      <c r="E20" s="26">
        <v>10100</v>
      </c>
      <c r="F20" s="26">
        <v>300</v>
      </c>
      <c r="G20" s="27"/>
      <c r="H20" s="27">
        <f t="shared" si="0"/>
        <v>10400</v>
      </c>
      <c r="I20" s="26">
        <f>10400</f>
        <v>10400</v>
      </c>
      <c r="J20" s="96" t="s">
        <v>180</v>
      </c>
      <c r="K20" s="96" t="s">
        <v>218</v>
      </c>
      <c r="L20" s="29" t="s">
        <v>21</v>
      </c>
      <c r="M20" s="27">
        <f t="shared" si="1"/>
        <v>0</v>
      </c>
      <c r="N20" s="30"/>
      <c r="O20" s="31"/>
    </row>
    <row r="21" spans="1:17">
      <c r="A21" s="19" t="s">
        <v>68</v>
      </c>
      <c r="B21" s="19" t="s">
        <v>69</v>
      </c>
      <c r="C21" s="24" t="s">
        <v>70</v>
      </c>
      <c r="D21" s="34"/>
      <c r="E21" s="26"/>
      <c r="F21" s="26">
        <v>0</v>
      </c>
      <c r="G21" s="27"/>
      <c r="H21" s="27">
        <f t="shared" si="0"/>
        <v>0</v>
      </c>
      <c r="I21" s="26"/>
      <c r="J21" s="93"/>
      <c r="K21" s="93"/>
      <c r="L21" s="29" t="s">
        <v>21</v>
      </c>
      <c r="M21" s="27">
        <f t="shared" si="1"/>
        <v>0</v>
      </c>
      <c r="N21" s="49"/>
      <c r="O21" s="31"/>
    </row>
    <row r="22" spans="1:17">
      <c r="A22" s="19" t="s">
        <v>71</v>
      </c>
      <c r="B22" s="19" t="s">
        <v>72</v>
      </c>
      <c r="C22" s="24" t="s">
        <v>73</v>
      </c>
      <c r="D22" s="34"/>
      <c r="E22" s="26">
        <v>10100</v>
      </c>
      <c r="F22" s="26">
        <v>0</v>
      </c>
      <c r="G22" s="27">
        <v>16000</v>
      </c>
      <c r="H22" s="27">
        <f t="shared" si="0"/>
        <v>26100</v>
      </c>
      <c r="I22" s="26">
        <f>9000+1000</f>
        <v>10000</v>
      </c>
      <c r="J22" s="93" t="s">
        <v>208</v>
      </c>
      <c r="K22" s="93" t="s">
        <v>209</v>
      </c>
      <c r="L22" s="29" t="s">
        <v>21</v>
      </c>
      <c r="M22" s="27">
        <f t="shared" si="1"/>
        <v>16100</v>
      </c>
      <c r="N22" s="30"/>
      <c r="O22" s="31"/>
    </row>
    <row r="23" spans="1:17">
      <c r="A23" s="19" t="s">
        <v>74</v>
      </c>
      <c r="B23" s="32" t="s">
        <v>75</v>
      </c>
      <c r="C23" s="24" t="s">
        <v>76</v>
      </c>
      <c r="D23" s="34"/>
      <c r="E23" s="26">
        <v>10100</v>
      </c>
      <c r="F23" s="26">
        <v>300</v>
      </c>
      <c r="G23" s="27"/>
      <c r="H23" s="27">
        <f t="shared" si="0"/>
        <v>10400</v>
      </c>
      <c r="I23" s="26">
        <f>10525</f>
        <v>10525</v>
      </c>
      <c r="J23" s="95" t="s">
        <v>181</v>
      </c>
      <c r="K23" s="95" t="s">
        <v>215</v>
      </c>
      <c r="L23" s="29" t="s">
        <v>21</v>
      </c>
      <c r="M23" s="27">
        <f t="shared" si="1"/>
        <v>-125</v>
      </c>
      <c r="N23" s="30"/>
      <c r="O23" s="77"/>
    </row>
    <row r="24" spans="1:17">
      <c r="A24" s="19" t="s">
        <v>77</v>
      </c>
      <c r="B24" s="19" t="s">
        <v>78</v>
      </c>
      <c r="C24" s="24" t="s">
        <v>79</v>
      </c>
      <c r="D24" s="34"/>
      <c r="E24" s="26">
        <v>10100</v>
      </c>
      <c r="F24" s="26">
        <v>150</v>
      </c>
      <c r="G24" s="27"/>
      <c r="H24" s="27">
        <f t="shared" si="0"/>
        <v>10250</v>
      </c>
      <c r="I24" s="26">
        <f>10355</f>
        <v>10355</v>
      </c>
      <c r="J24" s="93" t="s">
        <v>164</v>
      </c>
      <c r="K24" s="93"/>
      <c r="L24" s="29" t="s">
        <v>21</v>
      </c>
      <c r="M24" s="27">
        <f t="shared" si="1"/>
        <v>-105</v>
      </c>
      <c r="N24" s="30"/>
      <c r="O24" s="31"/>
      <c r="P24" t="s">
        <v>22</v>
      </c>
      <c r="Q24">
        <f>I57/H57*100</f>
        <v>93.959016742640472</v>
      </c>
    </row>
    <row r="25" spans="1:17">
      <c r="A25" s="19" t="s">
        <v>80</v>
      </c>
      <c r="B25" s="19" t="s">
        <v>81</v>
      </c>
      <c r="C25" s="46" t="s">
        <v>82</v>
      </c>
      <c r="D25" s="33"/>
      <c r="E25" s="26">
        <v>8500</v>
      </c>
      <c r="F25" s="26">
        <v>450</v>
      </c>
      <c r="G25" s="27"/>
      <c r="H25" s="27">
        <f t="shared" si="0"/>
        <v>8950</v>
      </c>
      <c r="I25" s="26">
        <v>9076</v>
      </c>
      <c r="J25" s="93" t="s">
        <v>196</v>
      </c>
      <c r="K25" s="93"/>
      <c r="L25" s="29" t="s">
        <v>21</v>
      </c>
      <c r="M25" s="27">
        <f t="shared" si="1"/>
        <v>-126</v>
      </c>
      <c r="N25" s="30"/>
      <c r="O25" s="31"/>
    </row>
    <row r="26" spans="1:17">
      <c r="A26" s="19" t="s">
        <v>83</v>
      </c>
      <c r="B26" s="19" t="s">
        <v>84</v>
      </c>
      <c r="C26" s="24" t="s">
        <v>85</v>
      </c>
      <c r="D26" s="33"/>
      <c r="E26" s="26">
        <v>10100</v>
      </c>
      <c r="F26" s="26">
        <v>300</v>
      </c>
      <c r="G26" s="27"/>
      <c r="H26" s="27">
        <f t="shared" si="0"/>
        <v>10400</v>
      </c>
      <c r="I26" s="26">
        <v>10270</v>
      </c>
      <c r="J26" s="93" t="s">
        <v>199</v>
      </c>
      <c r="K26" s="93"/>
      <c r="L26" s="29" t="s">
        <v>21</v>
      </c>
      <c r="M26" s="27">
        <f t="shared" si="1"/>
        <v>130</v>
      </c>
      <c r="N26" s="30"/>
      <c r="O26" s="31"/>
    </row>
    <row r="27" spans="1:17">
      <c r="A27" s="19" t="s">
        <v>86</v>
      </c>
      <c r="B27" s="19" t="s">
        <v>87</v>
      </c>
      <c r="C27" s="24" t="s">
        <v>88</v>
      </c>
      <c r="D27" s="33"/>
      <c r="E27" s="26">
        <v>10100</v>
      </c>
      <c r="F27" s="26">
        <v>0</v>
      </c>
      <c r="G27" s="27"/>
      <c r="H27" s="27">
        <f t="shared" si="0"/>
        <v>10100</v>
      </c>
      <c r="I27" s="26">
        <f>10780</f>
        <v>10780</v>
      </c>
      <c r="J27" s="93" t="s">
        <v>184</v>
      </c>
      <c r="K27" s="93" t="s">
        <v>215</v>
      </c>
      <c r="L27" s="29" t="s">
        <v>21</v>
      </c>
      <c r="M27" s="27">
        <f t="shared" si="1"/>
        <v>-680</v>
      </c>
      <c r="N27" s="30"/>
      <c r="O27" s="31"/>
    </row>
    <row r="28" spans="1:17">
      <c r="A28" s="19" t="s">
        <v>89</v>
      </c>
      <c r="B28" s="19" t="s">
        <v>90</v>
      </c>
      <c r="C28" s="24" t="s">
        <v>91</v>
      </c>
      <c r="D28" s="33"/>
      <c r="E28" s="26">
        <v>9100</v>
      </c>
      <c r="F28" s="26">
        <v>289</v>
      </c>
      <c r="G28" s="27"/>
      <c r="H28" s="27">
        <f t="shared" si="0"/>
        <v>9389</v>
      </c>
      <c r="I28" s="26">
        <f>9389</f>
        <v>9389</v>
      </c>
      <c r="J28" s="93" t="s">
        <v>177</v>
      </c>
      <c r="K28" s="93" t="s">
        <v>218</v>
      </c>
      <c r="L28" s="29" t="s">
        <v>21</v>
      </c>
      <c r="M28" s="27">
        <f t="shared" si="1"/>
        <v>0</v>
      </c>
      <c r="N28" s="30"/>
      <c r="O28" s="31"/>
      <c r="P28" t="s">
        <v>22</v>
      </c>
      <c r="Q28">
        <v>75.570748382370894</v>
      </c>
    </row>
    <row r="29" spans="1:17">
      <c r="A29" s="80" t="s">
        <v>92</v>
      </c>
      <c r="B29" s="80" t="s">
        <v>228</v>
      </c>
      <c r="C29" s="81"/>
      <c r="D29" s="82"/>
      <c r="E29" s="83"/>
      <c r="F29" s="83"/>
      <c r="G29" s="84"/>
      <c r="H29" s="84">
        <f t="shared" si="0"/>
        <v>0</v>
      </c>
      <c r="I29" s="83"/>
      <c r="J29" s="101"/>
      <c r="K29" s="101"/>
      <c r="L29" s="85"/>
      <c r="M29" s="84"/>
      <c r="N29" s="86"/>
      <c r="O29" s="31"/>
    </row>
    <row r="30" spans="1:17">
      <c r="A30" s="19" t="s">
        <v>95</v>
      </c>
      <c r="B30" s="19" t="s">
        <v>93</v>
      </c>
      <c r="C30" s="24" t="s">
        <v>94</v>
      </c>
      <c r="D30" s="33"/>
      <c r="E30" s="26">
        <v>10100</v>
      </c>
      <c r="F30" s="26">
        <v>150</v>
      </c>
      <c r="G30" s="27"/>
      <c r="H30" s="27">
        <f t="shared" si="0"/>
        <v>10250</v>
      </c>
      <c r="I30" s="26">
        <f>10270</f>
        <v>10270</v>
      </c>
      <c r="J30" s="95" t="s">
        <v>186</v>
      </c>
      <c r="K30" s="95" t="s">
        <v>220</v>
      </c>
      <c r="L30" s="29" t="s">
        <v>21</v>
      </c>
      <c r="M30" s="27">
        <f t="shared" si="1"/>
        <v>-20</v>
      </c>
      <c r="N30" s="30"/>
      <c r="O30" s="31"/>
      <c r="P30" s="50" t="s">
        <v>23</v>
      </c>
    </row>
    <row r="31" spans="1:17">
      <c r="A31" s="19" t="s">
        <v>98</v>
      </c>
      <c r="B31" s="19" t="s">
        <v>96</v>
      </c>
      <c r="C31" s="24" t="s">
        <v>97</v>
      </c>
      <c r="D31" s="33"/>
      <c r="E31" s="26">
        <v>10100</v>
      </c>
      <c r="F31" s="26">
        <v>60</v>
      </c>
      <c r="G31" s="27"/>
      <c r="H31" s="27">
        <f t="shared" si="0"/>
        <v>10160</v>
      </c>
      <c r="I31" s="26">
        <f>8600+1568</f>
        <v>10168</v>
      </c>
      <c r="J31" s="93" t="s">
        <v>182</v>
      </c>
      <c r="K31" s="93" t="s">
        <v>217</v>
      </c>
      <c r="L31" s="29" t="s">
        <v>21</v>
      </c>
      <c r="M31" s="27">
        <f t="shared" si="1"/>
        <v>-8</v>
      </c>
      <c r="N31" s="30"/>
      <c r="O31" s="31"/>
    </row>
    <row r="32" spans="1:17">
      <c r="A32" s="19" t="s">
        <v>99</v>
      </c>
      <c r="B32" s="32" t="s">
        <v>192</v>
      </c>
      <c r="C32" s="36"/>
      <c r="D32" s="33">
        <v>10000</v>
      </c>
      <c r="E32" s="26">
        <v>10100</v>
      </c>
      <c r="F32" s="26"/>
      <c r="G32" s="27"/>
      <c r="H32" s="27">
        <f t="shared" si="0"/>
        <v>20100</v>
      </c>
      <c r="I32" s="26">
        <f>20100</f>
        <v>20100</v>
      </c>
      <c r="J32" s="96" t="s">
        <v>190</v>
      </c>
      <c r="K32" s="96"/>
      <c r="L32" s="29" t="s">
        <v>21</v>
      </c>
      <c r="M32" s="27">
        <f t="shared" si="1"/>
        <v>0</v>
      </c>
      <c r="N32" s="30"/>
      <c r="O32" s="31"/>
    </row>
    <row r="33" spans="1:15">
      <c r="A33" s="19" t="s">
        <v>102</v>
      </c>
      <c r="B33" s="19" t="s">
        <v>100</v>
      </c>
      <c r="C33" s="24" t="s">
        <v>101</v>
      </c>
      <c r="D33" s="33"/>
      <c r="E33" s="26">
        <v>10100</v>
      </c>
      <c r="F33" s="26">
        <v>0</v>
      </c>
      <c r="G33" s="27"/>
      <c r="H33" s="27">
        <f t="shared" si="0"/>
        <v>10100</v>
      </c>
      <c r="I33" s="26">
        <f>10270</f>
        <v>10270</v>
      </c>
      <c r="J33" s="93" t="s">
        <v>173</v>
      </c>
      <c r="K33" s="93" t="s">
        <v>213</v>
      </c>
      <c r="L33" s="29" t="s">
        <v>21</v>
      </c>
      <c r="M33" s="27">
        <f t="shared" si="1"/>
        <v>-170</v>
      </c>
      <c r="N33" s="30"/>
      <c r="O33" s="31"/>
    </row>
    <row r="34" spans="1:15">
      <c r="A34" s="19" t="s">
        <v>105</v>
      </c>
      <c r="B34" s="19" t="s">
        <v>103</v>
      </c>
      <c r="C34" s="24" t="s">
        <v>104</v>
      </c>
      <c r="D34" s="33"/>
      <c r="E34" s="26">
        <v>10100</v>
      </c>
      <c r="F34" s="26">
        <v>150</v>
      </c>
      <c r="G34" s="27"/>
      <c r="H34" s="27">
        <f t="shared" si="0"/>
        <v>10250</v>
      </c>
      <c r="I34" s="26">
        <f>10270</f>
        <v>10270</v>
      </c>
      <c r="J34" s="93" t="s">
        <v>178</v>
      </c>
      <c r="K34" s="93" t="s">
        <v>216</v>
      </c>
      <c r="L34" s="29" t="s">
        <v>21</v>
      </c>
      <c r="M34" s="27">
        <f t="shared" si="1"/>
        <v>-20</v>
      </c>
      <c r="N34" s="30"/>
      <c r="O34" s="31"/>
    </row>
    <row r="35" spans="1:15">
      <c r="A35" s="19" t="s">
        <v>108</v>
      </c>
      <c r="B35" s="19" t="s">
        <v>106</v>
      </c>
      <c r="C35" s="24" t="s">
        <v>107</v>
      </c>
      <c r="D35" s="33"/>
      <c r="E35" s="26">
        <v>10100</v>
      </c>
      <c r="F35" s="26">
        <v>0</v>
      </c>
      <c r="G35" s="27"/>
      <c r="H35" s="27">
        <f t="shared" si="0"/>
        <v>10100</v>
      </c>
      <c r="I35" s="26">
        <v>10270</v>
      </c>
      <c r="J35" s="93" t="s">
        <v>168</v>
      </c>
      <c r="K35" s="93"/>
      <c r="L35" s="29" t="s">
        <v>21</v>
      </c>
      <c r="M35" s="27">
        <f t="shared" si="1"/>
        <v>-170</v>
      </c>
      <c r="N35" s="30"/>
      <c r="O35" s="31"/>
    </row>
    <row r="36" spans="1:15">
      <c r="A36" s="19" t="s">
        <v>111</v>
      </c>
      <c r="B36" s="19" t="s">
        <v>109</v>
      </c>
      <c r="C36" s="24" t="s">
        <v>110</v>
      </c>
      <c r="D36" s="33"/>
      <c r="E36" s="26">
        <v>10100</v>
      </c>
      <c r="F36" s="26">
        <v>0</v>
      </c>
      <c r="G36" s="27"/>
      <c r="H36" s="27">
        <f t="shared" si="0"/>
        <v>10100</v>
      </c>
      <c r="I36" s="26">
        <v>10270</v>
      </c>
      <c r="J36" s="93" t="s">
        <v>196</v>
      </c>
      <c r="K36" s="93"/>
      <c r="L36" s="29" t="s">
        <v>21</v>
      </c>
      <c r="M36" s="27">
        <f t="shared" si="1"/>
        <v>-170</v>
      </c>
      <c r="N36" s="30"/>
      <c r="O36" s="31"/>
    </row>
    <row r="37" spans="1:15">
      <c r="A37" s="19" t="s">
        <v>114</v>
      </c>
      <c r="B37" s="19" t="s">
        <v>112</v>
      </c>
      <c r="C37" s="24" t="s">
        <v>113</v>
      </c>
      <c r="D37" s="33"/>
      <c r="E37" s="26">
        <v>10100</v>
      </c>
      <c r="F37" s="26">
        <v>300</v>
      </c>
      <c r="G37" s="27"/>
      <c r="H37" s="27">
        <f t="shared" si="0"/>
        <v>10400</v>
      </c>
      <c r="I37" s="26">
        <f>10440</f>
        <v>10440</v>
      </c>
      <c r="J37" s="93" t="s">
        <v>176</v>
      </c>
      <c r="K37" s="93" t="s">
        <v>215</v>
      </c>
      <c r="L37" s="29" t="s">
        <v>21</v>
      </c>
      <c r="M37" s="27">
        <f t="shared" si="1"/>
        <v>-40</v>
      </c>
      <c r="N37" s="30"/>
      <c r="O37" s="31"/>
    </row>
    <row r="38" spans="1:15">
      <c r="A38" s="19" t="s">
        <v>117</v>
      </c>
      <c r="B38" s="19" t="s">
        <v>115</v>
      </c>
      <c r="C38" s="24" t="s">
        <v>116</v>
      </c>
      <c r="D38" s="33"/>
      <c r="E38" s="26">
        <v>10100</v>
      </c>
      <c r="F38" s="26">
        <v>300</v>
      </c>
      <c r="G38" s="27"/>
      <c r="H38" s="27">
        <f t="shared" si="0"/>
        <v>10400</v>
      </c>
      <c r="I38" s="26">
        <f>10400</f>
        <v>10400</v>
      </c>
      <c r="J38" s="93" t="s">
        <v>206</v>
      </c>
      <c r="K38" s="93"/>
      <c r="L38" s="29" t="s">
        <v>21</v>
      </c>
      <c r="M38" s="27">
        <f t="shared" si="1"/>
        <v>0</v>
      </c>
      <c r="N38" s="30"/>
      <c r="O38" s="31"/>
    </row>
    <row r="39" spans="1:15">
      <c r="A39" s="19" t="s">
        <v>120</v>
      </c>
      <c r="B39" s="19" t="s">
        <v>118</v>
      </c>
      <c r="C39" s="24" t="s">
        <v>119</v>
      </c>
      <c r="D39" s="33"/>
      <c r="E39" s="26">
        <v>10100</v>
      </c>
      <c r="F39" s="26">
        <v>300</v>
      </c>
      <c r="G39" s="27"/>
      <c r="H39" s="27">
        <f t="shared" si="0"/>
        <v>10400</v>
      </c>
      <c r="I39" s="26">
        <f>10440</f>
        <v>10440</v>
      </c>
      <c r="J39" s="93" t="s">
        <v>202</v>
      </c>
      <c r="K39" s="93"/>
      <c r="L39" s="29" t="s">
        <v>21</v>
      </c>
      <c r="M39" s="27">
        <f t="shared" si="1"/>
        <v>-40</v>
      </c>
      <c r="N39" s="30"/>
      <c r="O39" s="31"/>
    </row>
    <row r="40" spans="1:15">
      <c r="A40" s="19" t="s">
        <v>122</v>
      </c>
      <c r="B40" s="19" t="s">
        <v>174</v>
      </c>
      <c r="C40" s="24" t="s">
        <v>121</v>
      </c>
      <c r="D40" s="33"/>
      <c r="E40" s="26">
        <v>1000</v>
      </c>
      <c r="F40" s="26"/>
      <c r="G40" s="27"/>
      <c r="H40" s="27">
        <f t="shared" si="0"/>
        <v>1000</v>
      </c>
      <c r="I40" s="26">
        <f>1000</f>
        <v>1000</v>
      </c>
      <c r="J40" s="93" t="s">
        <v>175</v>
      </c>
      <c r="K40" s="93" t="s">
        <v>214</v>
      </c>
      <c r="L40" s="29" t="s">
        <v>21</v>
      </c>
      <c r="M40" s="27">
        <f t="shared" si="1"/>
        <v>0</v>
      </c>
      <c r="N40" s="30"/>
      <c r="O40" s="31"/>
    </row>
    <row r="41" spans="1:15">
      <c r="A41" s="19" t="s">
        <v>123</v>
      </c>
      <c r="B41" s="19" t="s">
        <v>183</v>
      </c>
      <c r="C41" s="24"/>
      <c r="D41" s="33"/>
      <c r="E41" s="26"/>
      <c r="F41" s="26"/>
      <c r="G41" s="27"/>
      <c r="H41" s="27">
        <f t="shared" si="0"/>
        <v>0</v>
      </c>
      <c r="I41" s="26"/>
      <c r="J41" s="93"/>
      <c r="K41" s="93"/>
      <c r="L41" s="29" t="s">
        <v>21</v>
      </c>
      <c r="M41" s="27">
        <f t="shared" si="1"/>
        <v>0</v>
      </c>
      <c r="N41" s="30"/>
      <c r="O41" s="31"/>
    </row>
    <row r="42" spans="1:15">
      <c r="A42" s="19" t="s">
        <v>126</v>
      </c>
      <c r="B42" s="19" t="s">
        <v>124</v>
      </c>
      <c r="C42" s="24" t="s">
        <v>125</v>
      </c>
      <c r="D42" s="33"/>
      <c r="E42" s="26">
        <v>10100</v>
      </c>
      <c r="F42" s="26">
        <v>85</v>
      </c>
      <c r="G42" s="27"/>
      <c r="H42" s="27">
        <f t="shared" si="0"/>
        <v>10185</v>
      </c>
      <c r="I42" s="26">
        <v>10185</v>
      </c>
      <c r="J42" s="93" t="s">
        <v>196</v>
      </c>
      <c r="K42" s="93"/>
      <c r="L42" s="29" t="s">
        <v>21</v>
      </c>
      <c r="M42" s="27">
        <f t="shared" si="1"/>
        <v>0</v>
      </c>
      <c r="N42" s="30"/>
      <c r="O42" s="31"/>
    </row>
    <row r="43" spans="1:15">
      <c r="A43" s="19" t="s">
        <v>127</v>
      </c>
      <c r="B43" s="19" t="s">
        <v>169</v>
      </c>
      <c r="C43" s="24" t="s">
        <v>170</v>
      </c>
      <c r="D43" s="33">
        <v>10000</v>
      </c>
      <c r="E43" s="26">
        <v>10100</v>
      </c>
      <c r="F43" s="26"/>
      <c r="G43" s="27"/>
      <c r="H43" s="27">
        <f t="shared" si="0"/>
        <v>20100</v>
      </c>
      <c r="I43" s="26">
        <f>14000</f>
        <v>14000</v>
      </c>
      <c r="J43" s="93" t="s">
        <v>171</v>
      </c>
      <c r="K43" s="93"/>
      <c r="L43" s="29" t="s">
        <v>21</v>
      </c>
      <c r="M43" s="27">
        <f t="shared" si="1"/>
        <v>6100</v>
      </c>
      <c r="N43" s="30" t="s">
        <v>172</v>
      </c>
      <c r="O43" s="31"/>
    </row>
    <row r="44" spans="1:15">
      <c r="A44" s="19" t="s">
        <v>130</v>
      </c>
      <c r="B44" s="19" t="s">
        <v>128</v>
      </c>
      <c r="C44" s="24" t="s">
        <v>129</v>
      </c>
      <c r="D44" s="33"/>
      <c r="E44" s="26">
        <v>10100</v>
      </c>
      <c r="F44" s="26">
        <v>450</v>
      </c>
      <c r="G44" s="27"/>
      <c r="H44" s="27">
        <f t="shared" si="0"/>
        <v>10550</v>
      </c>
      <c r="I44" s="26">
        <f>5000+5000+2611</f>
        <v>12611</v>
      </c>
      <c r="J44" s="93" t="s">
        <v>210</v>
      </c>
      <c r="K44" s="93" t="s">
        <v>219</v>
      </c>
      <c r="L44" s="29" t="s">
        <v>21</v>
      </c>
      <c r="M44" s="27">
        <f t="shared" si="1"/>
        <v>-2061</v>
      </c>
      <c r="N44" s="30"/>
      <c r="O44" s="31"/>
    </row>
    <row r="45" spans="1:15">
      <c r="A45" s="19" t="s">
        <v>133</v>
      </c>
      <c r="B45" s="19" t="s">
        <v>131</v>
      </c>
      <c r="C45" s="24" t="s">
        <v>132</v>
      </c>
      <c r="D45" s="33"/>
      <c r="E45" s="26">
        <v>10100</v>
      </c>
      <c r="F45" s="26">
        <v>0</v>
      </c>
      <c r="G45" s="27"/>
      <c r="H45" s="27">
        <f t="shared" si="0"/>
        <v>10100</v>
      </c>
      <c r="I45" s="26">
        <f>10270</f>
        <v>10270</v>
      </c>
      <c r="J45" s="93" t="s">
        <v>189</v>
      </c>
      <c r="K45" s="93" t="s">
        <v>221</v>
      </c>
      <c r="L45" s="29" t="s">
        <v>21</v>
      </c>
      <c r="M45" s="27">
        <f t="shared" si="1"/>
        <v>-170</v>
      </c>
      <c r="N45" s="30"/>
      <c r="O45" s="31"/>
    </row>
    <row r="46" spans="1:15">
      <c r="A46" s="19" t="s">
        <v>136</v>
      </c>
      <c r="B46" s="19" t="s">
        <v>134</v>
      </c>
      <c r="C46" s="24" t="s">
        <v>135</v>
      </c>
      <c r="D46" s="33"/>
      <c r="E46" s="26">
        <v>10100</v>
      </c>
      <c r="F46" s="26">
        <v>450</v>
      </c>
      <c r="G46" s="27"/>
      <c r="H46" s="27">
        <f t="shared" si="0"/>
        <v>10550</v>
      </c>
      <c r="I46" s="26">
        <f>10661</f>
        <v>10661</v>
      </c>
      <c r="J46" s="93" t="s">
        <v>187</v>
      </c>
      <c r="K46" s="93" t="s">
        <v>215</v>
      </c>
      <c r="L46" s="29" t="s">
        <v>21</v>
      </c>
      <c r="M46" s="27">
        <f t="shared" si="1"/>
        <v>-111</v>
      </c>
      <c r="N46" s="30"/>
      <c r="O46" s="31"/>
    </row>
    <row r="47" spans="1:15">
      <c r="A47" s="19" t="s">
        <v>139</v>
      </c>
      <c r="B47" s="19" t="s">
        <v>137</v>
      </c>
      <c r="C47" s="24" t="s">
        <v>138</v>
      </c>
      <c r="D47" s="33"/>
      <c r="E47" s="26">
        <v>10100</v>
      </c>
      <c r="F47" s="26">
        <v>170</v>
      </c>
      <c r="G47" s="27"/>
      <c r="H47" s="27">
        <f t="shared" si="0"/>
        <v>10270</v>
      </c>
      <c r="I47" s="26">
        <f>10270</f>
        <v>10270</v>
      </c>
      <c r="J47" s="93" t="s">
        <v>179</v>
      </c>
      <c r="K47" s="93" t="s">
        <v>215</v>
      </c>
      <c r="L47" s="29" t="s">
        <v>21</v>
      </c>
      <c r="M47" s="27">
        <f t="shared" si="1"/>
        <v>0</v>
      </c>
      <c r="N47" s="30"/>
      <c r="O47" s="31"/>
    </row>
    <row r="48" spans="1:15">
      <c r="A48" s="19" t="s">
        <v>142</v>
      </c>
      <c r="B48" s="19" t="s">
        <v>140</v>
      </c>
      <c r="C48" s="24" t="s">
        <v>141</v>
      </c>
      <c r="D48" s="33"/>
      <c r="E48" s="26">
        <v>10100</v>
      </c>
      <c r="F48" s="26">
        <v>170</v>
      </c>
      <c r="G48" s="27"/>
      <c r="H48" s="27">
        <f t="shared" si="0"/>
        <v>10270</v>
      </c>
      <c r="I48" s="26">
        <v>10270</v>
      </c>
      <c r="J48" s="93" t="s">
        <v>196</v>
      </c>
      <c r="K48" s="93"/>
      <c r="L48" s="29" t="s">
        <v>21</v>
      </c>
      <c r="M48" s="27">
        <f t="shared" si="1"/>
        <v>0</v>
      </c>
      <c r="N48" s="30"/>
      <c r="O48" s="31"/>
    </row>
    <row r="49" spans="1:19">
      <c r="A49" s="19" t="s">
        <v>145</v>
      </c>
      <c r="B49" s="19" t="s">
        <v>143</v>
      </c>
      <c r="C49" s="24" t="s">
        <v>144</v>
      </c>
      <c r="D49" s="33"/>
      <c r="E49" s="26">
        <v>10100</v>
      </c>
      <c r="F49" s="26">
        <v>300</v>
      </c>
      <c r="G49" s="27"/>
      <c r="H49" s="27">
        <f t="shared" si="0"/>
        <v>10400</v>
      </c>
      <c r="I49" s="26">
        <f>10525</f>
        <v>10525</v>
      </c>
      <c r="J49" s="93" t="s">
        <v>166</v>
      </c>
      <c r="K49" s="93"/>
      <c r="L49" s="29" t="s">
        <v>21</v>
      </c>
      <c r="M49" s="27">
        <f t="shared" si="1"/>
        <v>-125</v>
      </c>
      <c r="N49" s="30"/>
      <c r="O49" s="31"/>
    </row>
    <row r="50" spans="1:19">
      <c r="A50" s="19" t="s">
        <v>148</v>
      </c>
      <c r="B50" s="19" t="s">
        <v>146</v>
      </c>
      <c r="C50" s="24" t="s">
        <v>147</v>
      </c>
      <c r="D50" s="33"/>
      <c r="E50" s="26">
        <v>10100</v>
      </c>
      <c r="F50" s="26">
        <v>60</v>
      </c>
      <c r="G50" s="27"/>
      <c r="H50" s="27">
        <f t="shared" si="0"/>
        <v>10160</v>
      </c>
      <c r="I50" s="26">
        <f>10160</f>
        <v>10160</v>
      </c>
      <c r="J50" s="93" t="s">
        <v>201</v>
      </c>
      <c r="K50" s="93"/>
      <c r="L50" s="29" t="s">
        <v>21</v>
      </c>
      <c r="M50" s="27">
        <f t="shared" si="1"/>
        <v>0</v>
      </c>
      <c r="N50" s="30"/>
      <c r="O50" s="31"/>
    </row>
    <row r="51" spans="1:19">
      <c r="A51" s="19" t="s">
        <v>156</v>
      </c>
      <c r="B51" s="19" t="s">
        <v>159</v>
      </c>
      <c r="C51" s="24"/>
      <c r="D51" s="33"/>
      <c r="E51" s="26">
        <v>10100</v>
      </c>
      <c r="F51" s="26">
        <v>300</v>
      </c>
      <c r="G51" s="27"/>
      <c r="H51" s="27">
        <f t="shared" si="0"/>
        <v>10400</v>
      </c>
      <c r="I51" s="26">
        <f>10440</f>
        <v>10440</v>
      </c>
      <c r="J51" s="93" t="s">
        <v>190</v>
      </c>
      <c r="K51" s="93" t="s">
        <v>216</v>
      </c>
      <c r="L51" s="29" t="s">
        <v>21</v>
      </c>
      <c r="M51" s="27">
        <f t="shared" si="1"/>
        <v>-40</v>
      </c>
      <c r="N51" s="30"/>
      <c r="O51" s="31"/>
    </row>
    <row r="52" spans="1:19">
      <c r="A52" s="19" t="s">
        <v>157</v>
      </c>
      <c r="B52" s="19" t="s">
        <v>149</v>
      </c>
      <c r="C52" s="24" t="s">
        <v>150</v>
      </c>
      <c r="D52" s="33"/>
      <c r="E52" s="26">
        <v>10100</v>
      </c>
      <c r="F52" s="26">
        <v>0</v>
      </c>
      <c r="G52" s="27"/>
      <c r="H52" s="27">
        <f t="shared" si="0"/>
        <v>10100</v>
      </c>
      <c r="I52" s="26">
        <v>10100</v>
      </c>
      <c r="J52" s="93" t="s">
        <v>203</v>
      </c>
      <c r="K52" s="93"/>
      <c r="L52" s="29" t="s">
        <v>21</v>
      </c>
      <c r="M52" s="27">
        <f t="shared" si="1"/>
        <v>0</v>
      </c>
      <c r="N52" s="30"/>
      <c r="O52" s="31"/>
    </row>
    <row r="53" spans="1:19">
      <c r="A53" s="19" t="s">
        <v>158</v>
      </c>
      <c r="B53" s="79" t="s">
        <v>160</v>
      </c>
      <c r="D53" s="33"/>
      <c r="E53" s="26">
        <v>10100</v>
      </c>
      <c r="F53" s="26">
        <v>150</v>
      </c>
      <c r="G53" s="27"/>
      <c r="H53" s="27">
        <f t="shared" si="0"/>
        <v>10250</v>
      </c>
      <c r="I53" s="26">
        <v>10440</v>
      </c>
      <c r="J53" s="93" t="s">
        <v>196</v>
      </c>
      <c r="K53" s="93"/>
      <c r="L53" s="29" t="s">
        <v>21</v>
      </c>
      <c r="M53" s="27">
        <f t="shared" si="1"/>
        <v>-190</v>
      </c>
      <c r="N53" s="30"/>
      <c r="O53" s="31"/>
    </row>
    <row r="54" spans="1:19">
      <c r="A54" s="19" t="s">
        <v>151</v>
      </c>
      <c r="B54" s="19" t="s">
        <v>152</v>
      </c>
      <c r="C54" s="24" t="s">
        <v>153</v>
      </c>
      <c r="D54" s="33"/>
      <c r="E54" s="26">
        <v>9100</v>
      </c>
      <c r="F54" s="26">
        <v>150</v>
      </c>
      <c r="G54" s="27"/>
      <c r="H54" s="27">
        <f t="shared" si="0"/>
        <v>9250</v>
      </c>
      <c r="I54" s="26">
        <f>9330</f>
        <v>9330</v>
      </c>
      <c r="J54" s="93" t="s">
        <v>188</v>
      </c>
      <c r="K54" s="93"/>
      <c r="L54" s="29" t="s">
        <v>21</v>
      </c>
      <c r="M54" s="27">
        <f t="shared" si="1"/>
        <v>-80</v>
      </c>
      <c r="N54" s="30"/>
      <c r="O54" s="31"/>
    </row>
    <row r="55" spans="1:19">
      <c r="A55" s="19" t="s">
        <v>161</v>
      </c>
      <c r="B55" s="19" t="s">
        <v>154</v>
      </c>
      <c r="C55" s="24" t="s">
        <v>155</v>
      </c>
      <c r="D55" s="33"/>
      <c r="E55" s="26">
        <v>9100</v>
      </c>
      <c r="F55" s="26">
        <v>150</v>
      </c>
      <c r="G55" s="27"/>
      <c r="H55" s="27">
        <f t="shared" si="0"/>
        <v>9250</v>
      </c>
      <c r="I55" s="26">
        <f>9500</f>
        <v>9500</v>
      </c>
      <c r="J55" s="93" t="s">
        <v>204</v>
      </c>
      <c r="K55" s="93"/>
      <c r="L55" s="29" t="s">
        <v>21</v>
      </c>
      <c r="M55" s="27">
        <f t="shared" si="1"/>
        <v>-250</v>
      </c>
      <c r="N55" s="30"/>
      <c r="O55" s="31"/>
    </row>
    <row r="56" spans="1:19">
      <c r="A56" s="19" t="s">
        <v>162</v>
      </c>
      <c r="B56" s="19" t="s">
        <v>183</v>
      </c>
      <c r="C56" s="24"/>
      <c r="D56" s="33"/>
      <c r="E56" s="26"/>
      <c r="F56" s="26"/>
      <c r="G56" s="27"/>
      <c r="H56" s="27">
        <f t="shared" si="0"/>
        <v>0</v>
      </c>
      <c r="I56" s="26"/>
      <c r="J56" s="93"/>
      <c r="K56" s="93"/>
      <c r="L56" s="29" t="s">
        <v>21</v>
      </c>
      <c r="M56" s="27">
        <f t="shared" si="1"/>
        <v>0</v>
      </c>
      <c r="N56" s="30"/>
      <c r="O56" s="31"/>
    </row>
    <row r="57" spans="1:19">
      <c r="A57" s="52" t="s">
        <v>25</v>
      </c>
      <c r="B57" s="19"/>
      <c r="C57" s="53"/>
      <c r="D57" s="54">
        <f>SUM(D9:D55)</f>
        <v>20000</v>
      </c>
      <c r="E57" s="54">
        <f>SUM(E9:E56)</f>
        <v>422600</v>
      </c>
      <c r="F57" s="54">
        <f>SUM(F9:F56)</f>
        <v>10860</v>
      </c>
      <c r="G57" s="54">
        <f>SUM(G9:G56)</f>
        <v>16000</v>
      </c>
      <c r="H57" s="54">
        <f>SUM(H9:H56)</f>
        <v>469460</v>
      </c>
      <c r="I57" s="54">
        <f>SUM(I9:I56)</f>
        <v>441100</v>
      </c>
      <c r="J57" s="54"/>
      <c r="K57" s="54"/>
      <c r="L57" s="54"/>
      <c r="M57" s="54">
        <f>SUM(M9:M56)</f>
        <v>28360</v>
      </c>
      <c r="N57" s="55"/>
      <c r="O57" s="55"/>
      <c r="S57" s="51"/>
    </row>
    <row r="58" spans="1:19">
      <c r="A58" s="12"/>
      <c r="B58" s="19"/>
      <c r="C58" s="53"/>
      <c r="D58" s="56"/>
      <c r="E58" s="57"/>
      <c r="F58" s="57"/>
      <c r="G58" s="58"/>
      <c r="H58" s="57"/>
      <c r="I58" s="57"/>
      <c r="J58" s="12"/>
      <c r="K58" s="12"/>
      <c r="L58" s="12"/>
      <c r="M58" s="57"/>
      <c r="N58" s="57"/>
      <c r="O58" s="57"/>
    </row>
    <row r="59" spans="1:19">
      <c r="A59" s="59" t="s">
        <v>26</v>
      </c>
      <c r="B59" s="19"/>
      <c r="C59" s="53"/>
      <c r="D59" s="56"/>
      <c r="E59" s="57"/>
      <c r="F59" s="57"/>
      <c r="G59" s="58"/>
      <c r="H59" s="57"/>
      <c r="I59" s="57"/>
      <c r="J59" s="12"/>
      <c r="K59" s="12"/>
      <c r="L59" s="12"/>
      <c r="M59" s="57"/>
      <c r="N59" s="57"/>
      <c r="O59" s="57"/>
    </row>
    <row r="60" spans="1:19">
      <c r="A60" s="19" t="s">
        <v>27</v>
      </c>
      <c r="B60" s="19"/>
      <c r="C60" s="53"/>
      <c r="D60" s="19"/>
      <c r="E60" s="19"/>
      <c r="F60" s="19"/>
      <c r="G60" s="20"/>
      <c r="H60" s="19"/>
      <c r="I60" s="60">
        <f>6%*(I57-D57-F57)</f>
        <v>24614.399999999998</v>
      </c>
      <c r="J60" s="19"/>
      <c r="K60" s="19"/>
      <c r="L60" s="19"/>
      <c r="M60" s="19"/>
      <c r="N60" s="15"/>
      <c r="O60" s="19"/>
    </row>
    <row r="61" spans="1:19" ht="16.5">
      <c r="A61" s="15" t="s">
        <v>28</v>
      </c>
      <c r="B61" s="15"/>
      <c r="C61" s="15"/>
      <c r="D61" s="15"/>
      <c r="E61" s="15"/>
      <c r="F61" s="15"/>
      <c r="G61" s="61"/>
      <c r="H61" s="15"/>
      <c r="I61" s="62">
        <f>SUM(I60:I60)</f>
        <v>24614.399999999998</v>
      </c>
      <c r="J61" s="15"/>
      <c r="K61" s="15"/>
      <c r="L61" s="19"/>
      <c r="M61" s="15"/>
      <c r="N61" s="15"/>
      <c r="O61" s="15"/>
    </row>
    <row r="62" spans="1:19">
      <c r="A62" s="15"/>
      <c r="B62" s="15"/>
      <c r="C62" s="15"/>
      <c r="D62" s="15"/>
      <c r="E62" s="15"/>
      <c r="F62" s="15"/>
      <c r="G62" s="61"/>
      <c r="H62" s="15"/>
      <c r="I62" s="63"/>
      <c r="J62" s="15"/>
      <c r="K62" s="15"/>
      <c r="L62" s="15"/>
      <c r="M62" s="15"/>
      <c r="N62" s="15"/>
      <c r="O62" s="15"/>
    </row>
    <row r="63" spans="1:19">
      <c r="A63" s="2" t="s">
        <v>29</v>
      </c>
      <c r="B63" s="2"/>
      <c r="C63" s="2"/>
      <c r="D63" s="2"/>
      <c r="E63" s="2"/>
      <c r="F63" s="2"/>
      <c r="G63" s="64"/>
      <c r="H63" s="2"/>
      <c r="I63" s="47"/>
      <c r="J63" s="65" t="s">
        <v>30</v>
      </c>
      <c r="K63" s="65"/>
      <c r="L63" s="65" t="s">
        <v>30</v>
      </c>
      <c r="M63" s="66" t="s">
        <v>31</v>
      </c>
    </row>
    <row r="64" spans="1:19" ht="15.75" thickBot="1">
      <c r="A64" s="1" t="s">
        <v>32</v>
      </c>
      <c r="B64" s="1"/>
      <c r="C64" s="1"/>
      <c r="D64" s="1"/>
      <c r="E64" s="1"/>
      <c r="F64" s="1"/>
      <c r="G64" s="67"/>
      <c r="H64" s="68"/>
      <c r="I64" s="69">
        <f>I61</f>
        <v>24614.399999999998</v>
      </c>
      <c r="J64" s="70"/>
      <c r="K64" s="70"/>
      <c r="L64" s="71"/>
      <c r="M64" s="72">
        <f>I64-J64-L64</f>
        <v>24614.399999999998</v>
      </c>
    </row>
    <row r="65" spans="1:15" ht="15.75" thickTop="1">
      <c r="A65" s="1"/>
      <c r="B65" s="2"/>
      <c r="C65" s="2"/>
      <c r="D65" s="68"/>
      <c r="E65" s="68"/>
      <c r="F65" s="68"/>
      <c r="G65" s="70"/>
      <c r="H65" s="2"/>
      <c r="I65" s="73"/>
      <c r="J65" s="19"/>
      <c r="K65" s="19"/>
      <c r="L65" s="2"/>
      <c r="M65" s="19"/>
      <c r="N65" s="2"/>
      <c r="O65" s="68"/>
    </row>
    <row r="66" spans="1:15">
      <c r="A66" s="2" t="s">
        <v>33</v>
      </c>
      <c r="B66" s="2"/>
      <c r="C66" s="2"/>
      <c r="D66" s="2"/>
      <c r="E66" s="2"/>
      <c r="F66" s="2"/>
      <c r="G66" s="64"/>
      <c r="H66" s="2"/>
      <c r="I66" s="27"/>
      <c r="J66" s="19"/>
      <c r="K66" s="19"/>
      <c r="L66" s="2"/>
      <c r="M66" s="74">
        <v>46053</v>
      </c>
      <c r="N66" s="75"/>
      <c r="O66" s="76"/>
    </row>
    <row r="67" spans="1:15">
      <c r="A67" s="44"/>
      <c r="B67" s="44"/>
      <c r="C67" s="44"/>
      <c r="D67" s="44"/>
      <c r="E67" s="44"/>
      <c r="F67" s="44"/>
      <c r="G67" s="44"/>
      <c r="H67" s="44"/>
      <c r="L67" s="44"/>
      <c r="N67" s="44"/>
      <c r="O67" s="44"/>
    </row>
    <row r="68" spans="1:15" s="44" customFormat="1">
      <c r="I68"/>
      <c r="J68"/>
      <c r="K68"/>
      <c r="M68"/>
    </row>
    <row r="69" spans="1:15">
      <c r="A69" s="44"/>
      <c r="B69" s="44"/>
      <c r="C69" s="44"/>
      <c r="D69" s="44"/>
      <c r="E69" s="44"/>
      <c r="F69" s="44"/>
      <c r="G69" s="44"/>
      <c r="H69" s="44"/>
      <c r="L69" s="44"/>
      <c r="N69" s="44"/>
      <c r="O69" s="44"/>
    </row>
    <row r="70" spans="1:15">
      <c r="E70">
        <f>I57/H57*100</f>
        <v>93.959016742640472</v>
      </c>
    </row>
  </sheetData>
  <mergeCells count="1">
    <mergeCell ref="A3:M3"/>
  </mergeCells>
  <phoneticPr fontId="13" type="noConversion"/>
  <pageMargins left="0.7" right="0.7" top="0.75" bottom="0.75" header="0.3" footer="0.3"/>
  <pageSetup scale="5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2A80-A1DC-4928-9311-8DB20C6A81AE}">
  <sheetPr>
    <pageSetUpPr fitToPage="1"/>
  </sheetPr>
  <dimension ref="A1:S70"/>
  <sheetViews>
    <sheetView topLeftCell="A4" zoomScale="93" zoomScaleNormal="93" workbookViewId="0">
      <selection activeCell="A11" sqref="A11:XFD11"/>
    </sheetView>
  </sheetViews>
  <sheetFormatPr defaultColWidth="9" defaultRowHeight="15"/>
  <cols>
    <col min="2" max="2" width="15.28515625" customWidth="1"/>
    <col min="3" max="3" width="11.140625" customWidth="1"/>
    <col min="5" max="6" width="9.7109375" customWidth="1"/>
    <col min="7" max="7" width="9.42578125" customWidth="1"/>
    <col min="8" max="8" width="10" customWidth="1"/>
    <col min="9" max="9" width="11.28515625" customWidth="1"/>
    <col min="10" max="10" width="26.28515625" customWidth="1"/>
    <col min="11" max="11" width="12.7109375" customWidth="1"/>
    <col min="12" max="12" width="8.28515625" customWidth="1"/>
    <col min="13" max="13" width="13.7109375" customWidth="1"/>
    <col min="14" max="14" width="11.7109375" customWidth="1"/>
    <col min="15" max="15" width="12.7109375" customWidth="1"/>
    <col min="16" max="18" width="0" hidden="1" customWidth="1"/>
  </cols>
  <sheetData>
    <row r="1" spans="1:15">
      <c r="A1" s="1"/>
      <c r="B1" s="2"/>
      <c r="C1" s="3" t="s">
        <v>0</v>
      </c>
      <c r="D1" s="4"/>
      <c r="E1" s="2"/>
      <c r="F1" s="2"/>
      <c r="G1" s="5"/>
      <c r="H1" s="6"/>
      <c r="I1" s="7"/>
      <c r="J1" s="8"/>
      <c r="K1" s="8"/>
      <c r="L1" s="9"/>
      <c r="M1" s="10"/>
      <c r="N1" s="11"/>
      <c r="O1" s="11"/>
    </row>
    <row r="2" spans="1:15">
      <c r="A2" s="1" t="s">
        <v>1</v>
      </c>
      <c r="B2" s="1"/>
      <c r="C2" s="1"/>
      <c r="D2" s="1"/>
      <c r="E2" s="6"/>
      <c r="F2" s="6"/>
      <c r="G2" s="5"/>
      <c r="H2" s="6"/>
      <c r="I2" s="7"/>
      <c r="J2" s="8"/>
      <c r="K2" s="8"/>
      <c r="L2" s="9"/>
      <c r="M2" s="10"/>
      <c r="N2" s="11"/>
      <c r="O2" s="11"/>
    </row>
    <row r="3" spans="1:15">
      <c r="A3" s="104" t="s">
        <v>376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"/>
      <c r="O3" s="1"/>
    </row>
    <row r="4" spans="1:15">
      <c r="A4" s="12"/>
      <c r="B4" s="12"/>
      <c r="C4" s="12"/>
      <c r="D4" s="7"/>
      <c r="E4" s="7"/>
      <c r="F4" s="7"/>
      <c r="G4" s="13"/>
      <c r="H4" s="7"/>
      <c r="I4" s="7"/>
      <c r="J4" s="8" t="s">
        <v>3</v>
      </c>
      <c r="K4" s="8"/>
      <c r="L4" s="8"/>
      <c r="M4" s="14"/>
      <c r="N4" s="14"/>
      <c r="O4" s="14"/>
    </row>
    <row r="5" spans="1:15">
      <c r="A5" s="15" t="s">
        <v>34</v>
      </c>
      <c r="B5" s="15"/>
      <c r="C5" s="15"/>
      <c r="D5" s="14"/>
      <c r="E5" s="14"/>
      <c r="F5" s="14"/>
      <c r="G5" s="16"/>
      <c r="H5" s="14"/>
      <c r="I5" s="14"/>
      <c r="J5" s="17" t="s">
        <v>4</v>
      </c>
      <c r="K5" s="17"/>
      <c r="L5" s="17"/>
      <c r="M5" s="14"/>
      <c r="N5" s="14"/>
      <c r="O5" s="14"/>
    </row>
    <row r="6" spans="1:15">
      <c r="A6" s="15" t="s">
        <v>5</v>
      </c>
      <c r="B6" s="18"/>
      <c r="C6" s="15"/>
      <c r="D6" s="19"/>
      <c r="E6" s="19"/>
      <c r="F6" s="19"/>
      <c r="G6" s="20"/>
      <c r="H6" s="19"/>
      <c r="I6" s="14" t="s">
        <v>6</v>
      </c>
      <c r="J6" s="17" t="s">
        <v>197</v>
      </c>
      <c r="K6" s="17"/>
      <c r="L6" s="17"/>
      <c r="M6" s="14"/>
      <c r="N6" s="14"/>
      <c r="O6" s="14"/>
    </row>
    <row r="7" spans="1:15">
      <c r="A7" s="15"/>
      <c r="B7" s="15"/>
      <c r="C7" s="15"/>
      <c r="D7" s="19"/>
      <c r="E7" s="19"/>
      <c r="F7" s="19"/>
      <c r="G7" s="20"/>
      <c r="H7" s="19"/>
      <c r="I7" s="14" t="s">
        <v>7</v>
      </c>
      <c r="J7" s="78" t="s">
        <v>198</v>
      </c>
      <c r="K7" s="78"/>
      <c r="L7" s="17"/>
      <c r="M7" s="14"/>
      <c r="N7" s="14"/>
      <c r="O7" s="14"/>
    </row>
    <row r="8" spans="1:15" ht="24.75">
      <c r="A8" s="12" t="s">
        <v>8</v>
      </c>
      <c r="B8" s="12" t="s">
        <v>9</v>
      </c>
      <c r="C8" s="12" t="s">
        <v>10</v>
      </c>
      <c r="D8" s="21" t="s">
        <v>11</v>
      </c>
      <c r="E8" s="22" t="s">
        <v>12</v>
      </c>
      <c r="F8" s="22" t="s">
        <v>163</v>
      </c>
      <c r="G8" s="13" t="s">
        <v>13</v>
      </c>
      <c r="H8" s="23" t="s">
        <v>14</v>
      </c>
      <c r="I8" s="7" t="s">
        <v>15</v>
      </c>
      <c r="J8" s="12" t="s">
        <v>16</v>
      </c>
      <c r="K8" s="12" t="s">
        <v>207</v>
      </c>
      <c r="L8" s="12" t="s">
        <v>17</v>
      </c>
      <c r="M8" s="7" t="s">
        <v>18</v>
      </c>
      <c r="N8" s="7" t="s">
        <v>19</v>
      </c>
      <c r="O8" s="7" t="s">
        <v>20</v>
      </c>
    </row>
    <row r="9" spans="1:15">
      <c r="A9" s="19" t="s">
        <v>35</v>
      </c>
      <c r="B9" s="19" t="s">
        <v>45</v>
      </c>
      <c r="C9" s="24" t="s">
        <v>46</v>
      </c>
      <c r="D9" s="25"/>
      <c r="E9" s="26">
        <v>10100</v>
      </c>
      <c r="F9" s="26">
        <v>450</v>
      </c>
      <c r="G9" s="27">
        <f>JAN!M9</f>
        <v>0</v>
      </c>
      <c r="H9" s="27">
        <f>D9+E9+G9+F9</f>
        <v>10550</v>
      </c>
      <c r="I9" s="26">
        <f>10550</f>
        <v>10550</v>
      </c>
      <c r="J9" s="93" t="s">
        <v>282</v>
      </c>
      <c r="K9" s="93" t="s">
        <v>230</v>
      </c>
      <c r="L9" s="29" t="s">
        <v>223</v>
      </c>
      <c r="M9" s="27">
        <f>H9-I9</f>
        <v>0</v>
      </c>
      <c r="N9" s="30"/>
      <c r="O9" s="31"/>
    </row>
    <row r="10" spans="1:15">
      <c r="A10" s="32" t="s">
        <v>37</v>
      </c>
      <c r="B10" s="32" t="s">
        <v>47</v>
      </c>
      <c r="C10" s="24" t="s">
        <v>48</v>
      </c>
      <c r="D10" s="33"/>
      <c r="E10" s="26">
        <v>10100</v>
      </c>
      <c r="F10" s="26">
        <v>600</v>
      </c>
      <c r="G10" s="27">
        <f>JAN!M10</f>
        <v>0</v>
      </c>
      <c r="H10" s="27">
        <f t="shared" ref="H10:H56" si="0">D10+E10+G10+F10</f>
        <v>10700</v>
      </c>
      <c r="I10" s="26">
        <f>10700</f>
        <v>10700</v>
      </c>
      <c r="J10" s="93" t="s">
        <v>249</v>
      </c>
      <c r="K10" s="93" t="s">
        <v>245</v>
      </c>
      <c r="L10" s="29" t="s">
        <v>223</v>
      </c>
      <c r="M10" s="27">
        <f t="shared" ref="M10:M56" si="1">H10-I10</f>
        <v>0</v>
      </c>
      <c r="N10" s="30"/>
      <c r="O10" s="31" t="s">
        <v>238</v>
      </c>
    </row>
    <row r="11" spans="1:15">
      <c r="A11" s="19" t="s">
        <v>36</v>
      </c>
      <c r="B11" s="32" t="s">
        <v>477</v>
      </c>
      <c r="C11" s="24" t="s">
        <v>284</v>
      </c>
      <c r="D11" s="34">
        <v>10000</v>
      </c>
      <c r="E11" s="26">
        <v>10100</v>
      </c>
      <c r="F11" s="26"/>
      <c r="G11" s="27">
        <f>JAN!M11</f>
        <v>0</v>
      </c>
      <c r="H11" s="27">
        <f t="shared" si="0"/>
        <v>20100</v>
      </c>
      <c r="I11" s="26">
        <f>10000+10100</f>
        <v>20100</v>
      </c>
      <c r="J11" s="93" t="s">
        <v>236</v>
      </c>
      <c r="K11" s="93" t="s">
        <v>237</v>
      </c>
      <c r="L11" s="29" t="s">
        <v>223</v>
      </c>
      <c r="M11" s="27">
        <f t="shared" si="1"/>
        <v>0</v>
      </c>
      <c r="N11" s="30"/>
      <c r="O11" s="31"/>
    </row>
    <row r="12" spans="1:15">
      <c r="A12" s="19" t="s">
        <v>38</v>
      </c>
      <c r="B12" s="19" t="s">
        <v>24</v>
      </c>
      <c r="C12" s="24" t="s">
        <v>298</v>
      </c>
      <c r="D12" s="34"/>
      <c r="E12" s="26">
        <v>10100</v>
      </c>
      <c r="F12" s="26">
        <v>450</v>
      </c>
      <c r="G12" s="27">
        <f>JAN!M12</f>
        <v>-227</v>
      </c>
      <c r="H12" s="27">
        <f t="shared" si="0"/>
        <v>10323</v>
      </c>
      <c r="I12" s="26">
        <v>10627</v>
      </c>
      <c r="J12" s="93" t="s">
        <v>260</v>
      </c>
      <c r="K12" s="93" t="s">
        <v>261</v>
      </c>
      <c r="L12" s="29" t="s">
        <v>223</v>
      </c>
      <c r="M12" s="27">
        <f t="shared" si="1"/>
        <v>-304</v>
      </c>
      <c r="N12" s="35"/>
      <c r="O12" s="31" t="s">
        <v>238</v>
      </c>
    </row>
    <row r="13" spans="1:15">
      <c r="A13" s="19" t="s">
        <v>39</v>
      </c>
      <c r="B13" s="32" t="s">
        <v>50</v>
      </c>
      <c r="C13" s="36" t="s">
        <v>51</v>
      </c>
      <c r="D13" s="33"/>
      <c r="E13" s="26">
        <v>10100</v>
      </c>
      <c r="F13" s="26">
        <v>600</v>
      </c>
      <c r="G13" s="27">
        <f>JAN!M13</f>
        <v>0</v>
      </c>
      <c r="H13" s="27">
        <f t="shared" si="0"/>
        <v>10700</v>
      </c>
      <c r="I13" s="26">
        <v>10700</v>
      </c>
      <c r="J13" s="93" t="s">
        <v>262</v>
      </c>
      <c r="K13" s="93" t="s">
        <v>261</v>
      </c>
      <c r="L13" s="29" t="s">
        <v>223</v>
      </c>
      <c r="M13" s="27">
        <f t="shared" si="1"/>
        <v>0</v>
      </c>
      <c r="N13" s="30"/>
      <c r="O13" s="31" t="s">
        <v>238</v>
      </c>
    </row>
    <row r="14" spans="1:15">
      <c r="A14" s="19" t="s">
        <v>40</v>
      </c>
      <c r="B14" s="19" t="s">
        <v>52</v>
      </c>
      <c r="C14" s="24" t="s">
        <v>53</v>
      </c>
      <c r="D14" s="34"/>
      <c r="E14" s="26">
        <v>10100</v>
      </c>
      <c r="F14" s="26">
        <v>405</v>
      </c>
      <c r="G14" s="27">
        <f>JAN!M14</f>
        <v>-55</v>
      </c>
      <c r="H14" s="27">
        <f t="shared" si="0"/>
        <v>10450</v>
      </c>
      <c r="I14" s="26">
        <f>10450</f>
        <v>10450</v>
      </c>
      <c r="J14" s="95" t="s">
        <v>248</v>
      </c>
      <c r="K14" s="95" t="s">
        <v>232</v>
      </c>
      <c r="L14" s="29" t="s">
        <v>223</v>
      </c>
      <c r="M14" s="27">
        <f t="shared" si="1"/>
        <v>0</v>
      </c>
      <c r="N14" s="30"/>
      <c r="O14" s="31" t="s">
        <v>238</v>
      </c>
    </row>
    <row r="15" spans="1:15" s="44" customFormat="1">
      <c r="A15" s="38" t="s">
        <v>41</v>
      </c>
      <c r="B15" s="2" t="s">
        <v>54</v>
      </c>
      <c r="C15" s="39" t="s">
        <v>55</v>
      </c>
      <c r="D15" s="40"/>
      <c r="E15" s="41">
        <v>10100</v>
      </c>
      <c r="F15" s="41">
        <v>450</v>
      </c>
      <c r="G15" s="27">
        <f>JAN!M15</f>
        <v>-160</v>
      </c>
      <c r="H15" s="27">
        <f t="shared" si="0"/>
        <v>10390</v>
      </c>
      <c r="I15" s="26">
        <f>10550</f>
        <v>10550</v>
      </c>
      <c r="J15" s="93" t="s">
        <v>251</v>
      </c>
      <c r="K15" s="93" t="s">
        <v>245</v>
      </c>
      <c r="L15" s="29" t="s">
        <v>223</v>
      </c>
      <c r="M15" s="27">
        <f t="shared" si="1"/>
        <v>-160</v>
      </c>
      <c r="N15" s="42"/>
      <c r="O15" s="43"/>
    </row>
    <row r="16" spans="1:15">
      <c r="A16" s="19" t="s">
        <v>42</v>
      </c>
      <c r="B16" s="19" t="s">
        <v>56</v>
      </c>
      <c r="C16" s="24" t="s">
        <v>57</v>
      </c>
      <c r="D16" s="34"/>
      <c r="E16" s="26">
        <v>12100</v>
      </c>
      <c r="F16" s="26">
        <v>750</v>
      </c>
      <c r="G16" s="27">
        <f>JAN!M16</f>
        <v>0</v>
      </c>
      <c r="H16" s="27">
        <f t="shared" si="0"/>
        <v>12850</v>
      </c>
      <c r="I16" s="26">
        <f>12850</f>
        <v>12850</v>
      </c>
      <c r="J16" s="95" t="s">
        <v>289</v>
      </c>
      <c r="K16" s="95" t="s">
        <v>230</v>
      </c>
      <c r="L16" s="29" t="s">
        <v>223</v>
      </c>
      <c r="M16" s="27">
        <f t="shared" si="1"/>
        <v>0</v>
      </c>
      <c r="N16" s="15"/>
      <c r="O16" s="31" t="s">
        <v>238</v>
      </c>
    </row>
    <row r="17" spans="1:17">
      <c r="A17" s="19" t="s">
        <v>43</v>
      </c>
      <c r="B17" s="19" t="s">
        <v>58</v>
      </c>
      <c r="C17" s="24" t="s">
        <v>59</v>
      </c>
      <c r="D17" s="34"/>
      <c r="E17" s="26">
        <v>14100</v>
      </c>
      <c r="F17" s="26">
        <v>450</v>
      </c>
      <c r="G17" s="27">
        <f>JAN!M17</f>
        <v>2000</v>
      </c>
      <c r="H17" s="27">
        <f t="shared" si="0"/>
        <v>16550</v>
      </c>
      <c r="I17" s="26">
        <f>16550</f>
        <v>16550</v>
      </c>
      <c r="J17" s="93"/>
      <c r="K17" s="93"/>
      <c r="L17" s="29" t="s">
        <v>223</v>
      </c>
      <c r="M17" s="27">
        <f t="shared" si="1"/>
        <v>0</v>
      </c>
      <c r="N17" s="30"/>
      <c r="O17" s="31"/>
    </row>
    <row r="18" spans="1:17">
      <c r="A18" s="19" t="s">
        <v>44</v>
      </c>
      <c r="B18" s="19" t="s">
        <v>60</v>
      </c>
      <c r="C18" s="24" t="s">
        <v>61</v>
      </c>
      <c r="D18" s="34"/>
      <c r="E18" s="26">
        <v>10100</v>
      </c>
      <c r="F18" s="26">
        <v>677</v>
      </c>
      <c r="G18" s="27">
        <f>JAN!M18</f>
        <v>-77</v>
      </c>
      <c r="H18" s="27">
        <f t="shared" si="0"/>
        <v>10700</v>
      </c>
      <c r="I18" s="26">
        <v>10700</v>
      </c>
      <c r="J18" s="93" t="s">
        <v>286</v>
      </c>
      <c r="K18" s="93" t="s">
        <v>287</v>
      </c>
      <c r="L18" s="29" t="s">
        <v>223</v>
      </c>
      <c r="M18" s="27">
        <f t="shared" si="1"/>
        <v>0</v>
      </c>
      <c r="N18" s="45"/>
      <c r="O18" s="31" t="s">
        <v>238</v>
      </c>
    </row>
    <row r="19" spans="1:17">
      <c r="A19" s="32" t="s">
        <v>62</v>
      </c>
      <c r="B19" s="32" t="s">
        <v>63</v>
      </c>
      <c r="C19" s="46" t="s">
        <v>64</v>
      </c>
      <c r="D19" s="33"/>
      <c r="E19" s="26">
        <v>10100</v>
      </c>
      <c r="F19" s="26">
        <v>150</v>
      </c>
      <c r="G19" s="27">
        <f>JAN!M19</f>
        <v>9250</v>
      </c>
      <c r="H19" s="27">
        <f t="shared" si="0"/>
        <v>19500</v>
      </c>
      <c r="I19" s="47">
        <f>19500</f>
        <v>19500</v>
      </c>
      <c r="J19" s="93" t="s">
        <v>274</v>
      </c>
      <c r="K19" s="93" t="s">
        <v>275</v>
      </c>
      <c r="L19" s="29" t="s">
        <v>223</v>
      </c>
      <c r="M19" s="27">
        <f t="shared" si="1"/>
        <v>0</v>
      </c>
      <c r="N19" s="15"/>
      <c r="O19" s="31"/>
    </row>
    <row r="20" spans="1:17">
      <c r="A20" s="19" t="s">
        <v>65</v>
      </c>
      <c r="B20" s="19" t="s">
        <v>66</v>
      </c>
      <c r="C20" s="24" t="s">
        <v>67</v>
      </c>
      <c r="D20" s="33"/>
      <c r="E20" s="26">
        <v>10100</v>
      </c>
      <c r="F20" s="26">
        <v>300</v>
      </c>
      <c r="G20" s="27">
        <f>JAN!M20</f>
        <v>0</v>
      </c>
      <c r="H20" s="27">
        <f t="shared" si="0"/>
        <v>10400</v>
      </c>
      <c r="I20" s="26">
        <f>10400</f>
        <v>10400</v>
      </c>
      <c r="J20" s="96" t="s">
        <v>241</v>
      </c>
      <c r="K20" s="96" t="s">
        <v>232</v>
      </c>
      <c r="L20" s="29" t="s">
        <v>223</v>
      </c>
      <c r="M20" s="27">
        <f t="shared" si="1"/>
        <v>0</v>
      </c>
      <c r="N20" s="30"/>
      <c r="O20" s="31" t="s">
        <v>238</v>
      </c>
    </row>
    <row r="21" spans="1:17">
      <c r="A21" s="19" t="s">
        <v>68</v>
      </c>
      <c r="B21" s="19" t="s">
        <v>302</v>
      </c>
      <c r="C21" s="24" t="s">
        <v>301</v>
      </c>
      <c r="D21" s="34"/>
      <c r="E21" s="26">
        <v>10100</v>
      </c>
      <c r="F21" s="26">
        <v>300</v>
      </c>
      <c r="G21" s="27">
        <f>JAN!M21</f>
        <v>0</v>
      </c>
      <c r="H21" s="27">
        <f t="shared" si="0"/>
        <v>10400</v>
      </c>
      <c r="I21" s="26">
        <f>10000+400</f>
        <v>10400</v>
      </c>
      <c r="J21" s="93" t="s">
        <v>265</v>
      </c>
      <c r="K21" s="93" t="s">
        <v>266</v>
      </c>
      <c r="L21" s="29" t="s">
        <v>223</v>
      </c>
      <c r="M21" s="27">
        <f t="shared" si="1"/>
        <v>0</v>
      </c>
      <c r="N21" s="49"/>
      <c r="O21" s="31" t="s">
        <v>238</v>
      </c>
    </row>
    <row r="22" spans="1:17">
      <c r="A22" s="19" t="s">
        <v>71</v>
      </c>
      <c r="B22" s="19" t="s">
        <v>72</v>
      </c>
      <c r="C22" s="24" t="s">
        <v>73</v>
      </c>
      <c r="D22" s="34"/>
      <c r="E22" s="26">
        <v>10100</v>
      </c>
      <c r="F22" s="26">
        <v>300</v>
      </c>
      <c r="G22" s="27">
        <f>JAN!M22</f>
        <v>16100</v>
      </c>
      <c r="H22" s="27">
        <f t="shared" si="0"/>
        <v>26500</v>
      </c>
      <c r="I22" s="26"/>
      <c r="J22" s="93"/>
      <c r="K22" s="93"/>
      <c r="L22" s="29" t="s">
        <v>223</v>
      </c>
      <c r="M22" s="27">
        <f t="shared" si="1"/>
        <v>26500</v>
      </c>
      <c r="N22" s="30" t="s">
        <v>295</v>
      </c>
      <c r="O22" s="31" t="s">
        <v>238</v>
      </c>
    </row>
    <row r="23" spans="1:17">
      <c r="A23" s="19" t="s">
        <v>74</v>
      </c>
      <c r="B23" s="32" t="s">
        <v>224</v>
      </c>
      <c r="C23" s="24" t="s">
        <v>225</v>
      </c>
      <c r="D23" s="34">
        <v>10000</v>
      </c>
      <c r="E23" s="26">
        <v>10100</v>
      </c>
      <c r="F23" s="26">
        <v>150</v>
      </c>
      <c r="G23" s="27">
        <f>JAN!M23</f>
        <v>-125</v>
      </c>
      <c r="H23" s="27">
        <f t="shared" si="0"/>
        <v>20125</v>
      </c>
      <c r="I23" s="26">
        <f>12000</f>
        <v>12000</v>
      </c>
      <c r="J23" s="95" t="s">
        <v>226</v>
      </c>
      <c r="K23" s="95" t="s">
        <v>227</v>
      </c>
      <c r="L23" s="29" t="s">
        <v>223</v>
      </c>
      <c r="M23" s="27">
        <f t="shared" si="1"/>
        <v>8125</v>
      </c>
      <c r="N23" s="30"/>
      <c r="O23" s="77" t="s">
        <v>297</v>
      </c>
    </row>
    <row r="24" spans="1:17">
      <c r="A24" s="19" t="s">
        <v>77</v>
      </c>
      <c r="B24" s="19" t="s">
        <v>78</v>
      </c>
      <c r="C24" s="24" t="s">
        <v>299</v>
      </c>
      <c r="D24" s="34"/>
      <c r="E24" s="26">
        <v>10100</v>
      </c>
      <c r="F24" s="26">
        <v>150</v>
      </c>
      <c r="G24" s="27">
        <f>JAN!M24</f>
        <v>-105</v>
      </c>
      <c r="H24" s="27">
        <f t="shared" si="0"/>
        <v>10145</v>
      </c>
      <c r="I24" s="26">
        <f>10250</f>
        <v>10250</v>
      </c>
      <c r="J24" s="93" t="s">
        <v>250</v>
      </c>
      <c r="K24" s="93" t="s">
        <v>245</v>
      </c>
      <c r="L24" s="29" t="s">
        <v>223</v>
      </c>
      <c r="M24" s="27">
        <f t="shared" si="1"/>
        <v>-105</v>
      </c>
      <c r="N24" s="30"/>
      <c r="O24" s="31" t="s">
        <v>238</v>
      </c>
      <c r="P24" t="s">
        <v>22</v>
      </c>
      <c r="Q24">
        <f>I57/H57*100</f>
        <v>95.883025040717342</v>
      </c>
    </row>
    <row r="25" spans="1:17">
      <c r="A25" s="19" t="s">
        <v>80</v>
      </c>
      <c r="B25" s="19" t="s">
        <v>81</v>
      </c>
      <c r="C25" s="46" t="s">
        <v>82</v>
      </c>
      <c r="D25" s="33"/>
      <c r="E25" s="26">
        <v>10100</v>
      </c>
      <c r="F25" s="26">
        <v>450</v>
      </c>
      <c r="G25" s="27">
        <f>JAN!M25</f>
        <v>-126</v>
      </c>
      <c r="H25" s="27">
        <f t="shared" si="0"/>
        <v>10424</v>
      </c>
      <c r="I25" s="26">
        <v>10550</v>
      </c>
      <c r="J25" s="93" t="s">
        <v>283</v>
      </c>
      <c r="K25" s="93" t="s">
        <v>261</v>
      </c>
      <c r="L25" s="29" t="s">
        <v>223</v>
      </c>
      <c r="M25" s="27">
        <f t="shared" si="1"/>
        <v>-126</v>
      </c>
      <c r="N25" s="30"/>
      <c r="O25" s="31" t="s">
        <v>238</v>
      </c>
    </row>
    <row r="26" spans="1:17">
      <c r="A26" s="19" t="s">
        <v>83</v>
      </c>
      <c r="B26" s="19" t="s">
        <v>84</v>
      </c>
      <c r="C26" s="24" t="s">
        <v>85</v>
      </c>
      <c r="D26" s="33"/>
      <c r="E26" s="26">
        <v>10100</v>
      </c>
      <c r="F26" s="26">
        <v>150</v>
      </c>
      <c r="G26" s="27">
        <f>JAN!M26</f>
        <v>130</v>
      </c>
      <c r="H26" s="27">
        <f t="shared" si="0"/>
        <v>10380</v>
      </c>
      <c r="I26" s="26">
        <f>10380</f>
        <v>10380</v>
      </c>
      <c r="J26" s="93" t="s">
        <v>240</v>
      </c>
      <c r="K26" s="93" t="s">
        <v>232</v>
      </c>
      <c r="L26" s="29" t="s">
        <v>223</v>
      </c>
      <c r="M26" s="27">
        <f t="shared" si="1"/>
        <v>0</v>
      </c>
      <c r="N26" s="30"/>
      <c r="O26" s="31" t="s">
        <v>238</v>
      </c>
    </row>
    <row r="27" spans="1:17">
      <c r="A27" s="19" t="s">
        <v>86</v>
      </c>
      <c r="B27" s="19" t="s">
        <v>87</v>
      </c>
      <c r="C27" s="24" t="s">
        <v>88</v>
      </c>
      <c r="D27" s="33"/>
      <c r="E27" s="26">
        <v>10100</v>
      </c>
      <c r="F27" s="26">
        <v>450</v>
      </c>
      <c r="G27" s="27">
        <f>JAN!M27</f>
        <v>-680</v>
      </c>
      <c r="H27" s="27">
        <f t="shared" si="0"/>
        <v>9870</v>
      </c>
      <c r="I27" s="26">
        <f>10550</f>
        <v>10550</v>
      </c>
      <c r="J27" s="93" t="s">
        <v>229</v>
      </c>
      <c r="K27" s="93" t="s">
        <v>230</v>
      </c>
      <c r="L27" s="29" t="s">
        <v>223</v>
      </c>
      <c r="M27" s="27">
        <f t="shared" si="1"/>
        <v>-680</v>
      </c>
      <c r="N27" s="30"/>
      <c r="O27" s="31" t="s">
        <v>238</v>
      </c>
    </row>
    <row r="28" spans="1:17">
      <c r="A28" s="19" t="s">
        <v>89</v>
      </c>
      <c r="B28" s="19" t="s">
        <v>90</v>
      </c>
      <c r="C28" s="24" t="s">
        <v>91</v>
      </c>
      <c r="D28" s="33"/>
      <c r="E28" s="26">
        <v>10100</v>
      </c>
      <c r="F28" s="26">
        <v>300</v>
      </c>
      <c r="G28" s="27">
        <f>JAN!M28</f>
        <v>0</v>
      </c>
      <c r="H28" s="27">
        <f t="shared" si="0"/>
        <v>10400</v>
      </c>
      <c r="I28" s="26">
        <f>10400</f>
        <v>10400</v>
      </c>
      <c r="J28" s="93" t="s">
        <v>244</v>
      </c>
      <c r="K28" s="93" t="s">
        <v>245</v>
      </c>
      <c r="L28" s="29" t="s">
        <v>223</v>
      </c>
      <c r="M28" s="27">
        <f t="shared" si="1"/>
        <v>0</v>
      </c>
      <c r="N28" s="30"/>
      <c r="O28" s="31"/>
      <c r="P28" t="s">
        <v>22</v>
      </c>
      <c r="Q28">
        <v>75.570748382370894</v>
      </c>
    </row>
    <row r="29" spans="1:17">
      <c r="A29" s="80" t="s">
        <v>92</v>
      </c>
      <c r="B29" s="80" t="s">
        <v>228</v>
      </c>
      <c r="C29" s="81"/>
      <c r="D29" s="82"/>
      <c r="E29" s="83"/>
      <c r="F29" s="83"/>
      <c r="G29" s="84">
        <f>JAN!M29</f>
        <v>0</v>
      </c>
      <c r="H29" s="84">
        <f t="shared" si="0"/>
        <v>0</v>
      </c>
      <c r="I29" s="83"/>
      <c r="J29" s="101"/>
      <c r="K29" s="101"/>
      <c r="L29" s="85" t="s">
        <v>223</v>
      </c>
      <c r="M29" s="84"/>
      <c r="N29" s="86"/>
      <c r="O29" s="87"/>
    </row>
    <row r="30" spans="1:17">
      <c r="A30" s="19" t="s">
        <v>95</v>
      </c>
      <c r="B30" s="19" t="s">
        <v>93</v>
      </c>
      <c r="C30" s="24" t="s">
        <v>94</v>
      </c>
      <c r="D30" s="33"/>
      <c r="E30" s="26">
        <v>10100</v>
      </c>
      <c r="F30" s="26">
        <v>220</v>
      </c>
      <c r="G30" s="27">
        <f>JAN!M30</f>
        <v>-20</v>
      </c>
      <c r="H30" s="27">
        <f t="shared" si="0"/>
        <v>10300</v>
      </c>
      <c r="I30" s="26">
        <v>10300</v>
      </c>
      <c r="J30" s="95" t="s">
        <v>288</v>
      </c>
      <c r="K30" s="95" t="s">
        <v>268</v>
      </c>
      <c r="L30" s="29" t="s">
        <v>223</v>
      </c>
      <c r="M30" s="27">
        <f t="shared" si="1"/>
        <v>0</v>
      </c>
      <c r="N30" s="30" t="s">
        <v>254</v>
      </c>
      <c r="O30" s="31" t="s">
        <v>238</v>
      </c>
      <c r="P30" s="50" t="s">
        <v>23</v>
      </c>
    </row>
    <row r="31" spans="1:17">
      <c r="A31" s="19" t="s">
        <v>98</v>
      </c>
      <c r="B31" s="19" t="s">
        <v>96</v>
      </c>
      <c r="C31" s="24" t="s">
        <v>97</v>
      </c>
      <c r="D31" s="33"/>
      <c r="E31" s="26">
        <v>10100</v>
      </c>
      <c r="F31" s="26">
        <v>30.000000000000028</v>
      </c>
      <c r="G31" s="27">
        <f>JAN!M31</f>
        <v>-8</v>
      </c>
      <c r="H31" s="27">
        <f t="shared" si="0"/>
        <v>10122</v>
      </c>
      <c r="I31" s="26">
        <v>10130</v>
      </c>
      <c r="J31" s="93" t="s">
        <v>255</v>
      </c>
      <c r="K31" s="93" t="s">
        <v>230</v>
      </c>
      <c r="L31" s="29" t="s">
        <v>223</v>
      </c>
      <c r="M31" s="27">
        <f t="shared" si="1"/>
        <v>-8</v>
      </c>
      <c r="N31" s="30"/>
      <c r="O31" s="31"/>
    </row>
    <row r="32" spans="1:17">
      <c r="A32" s="19" t="s">
        <v>99</v>
      </c>
      <c r="B32" s="32" t="s">
        <v>192</v>
      </c>
      <c r="C32" s="36" t="s">
        <v>193</v>
      </c>
      <c r="D32" s="33"/>
      <c r="E32" s="26">
        <v>10100</v>
      </c>
      <c r="F32" s="26">
        <v>300</v>
      </c>
      <c r="G32" s="27">
        <f>JAN!M32</f>
        <v>0</v>
      </c>
      <c r="H32" s="27">
        <f t="shared" si="0"/>
        <v>10400</v>
      </c>
      <c r="I32" s="26">
        <v>10400</v>
      </c>
      <c r="J32" s="96" t="s">
        <v>280</v>
      </c>
      <c r="K32" s="96" t="s">
        <v>278</v>
      </c>
      <c r="L32" s="29" t="s">
        <v>223</v>
      </c>
      <c r="M32" s="27">
        <f t="shared" si="1"/>
        <v>0</v>
      </c>
      <c r="N32" s="30" t="s">
        <v>281</v>
      </c>
      <c r="O32" s="31" t="s">
        <v>238</v>
      </c>
    </row>
    <row r="33" spans="1:15">
      <c r="A33" s="19" t="s">
        <v>102</v>
      </c>
      <c r="B33" s="19" t="s">
        <v>100</v>
      </c>
      <c r="C33" s="24" t="s">
        <v>101</v>
      </c>
      <c r="D33" s="33"/>
      <c r="E33" s="26">
        <v>10100</v>
      </c>
      <c r="F33" s="26">
        <v>150</v>
      </c>
      <c r="G33" s="27">
        <f>JAN!M33</f>
        <v>-170</v>
      </c>
      <c r="H33" s="27">
        <f t="shared" si="0"/>
        <v>10080</v>
      </c>
      <c r="I33" s="26">
        <f>10250</f>
        <v>10250</v>
      </c>
      <c r="J33" s="93" t="s">
        <v>246</v>
      </c>
      <c r="K33" s="93" t="s">
        <v>232</v>
      </c>
      <c r="L33" s="29" t="s">
        <v>223</v>
      </c>
      <c r="M33" s="27">
        <f t="shared" si="1"/>
        <v>-170</v>
      </c>
      <c r="N33" s="30"/>
      <c r="O33" s="31" t="s">
        <v>238</v>
      </c>
    </row>
    <row r="34" spans="1:15">
      <c r="A34" s="19" t="s">
        <v>105</v>
      </c>
      <c r="B34" s="19" t="s">
        <v>103</v>
      </c>
      <c r="C34" s="24" t="s">
        <v>104</v>
      </c>
      <c r="D34" s="33"/>
      <c r="E34" s="26">
        <v>10100</v>
      </c>
      <c r="F34" s="26">
        <v>150</v>
      </c>
      <c r="G34" s="27">
        <f>JAN!M34</f>
        <v>-20</v>
      </c>
      <c r="H34" s="27">
        <f t="shared" si="0"/>
        <v>10230</v>
      </c>
      <c r="I34" s="26">
        <f>10250</f>
        <v>10250</v>
      </c>
      <c r="J34" s="93" t="s">
        <v>292</v>
      </c>
      <c r="K34" s="93" t="s">
        <v>278</v>
      </c>
      <c r="L34" s="29" t="s">
        <v>223</v>
      </c>
      <c r="M34" s="27">
        <f t="shared" si="1"/>
        <v>-20</v>
      </c>
      <c r="N34" s="30"/>
      <c r="O34" s="31"/>
    </row>
    <row r="35" spans="1:15">
      <c r="A35" s="19" t="s">
        <v>108</v>
      </c>
      <c r="B35" s="19" t="s">
        <v>106</v>
      </c>
      <c r="C35" s="24" t="s">
        <v>107</v>
      </c>
      <c r="D35" s="33"/>
      <c r="E35" s="26">
        <v>10100</v>
      </c>
      <c r="F35" s="26">
        <v>450</v>
      </c>
      <c r="G35" s="27">
        <f>JAN!M35</f>
        <v>-170</v>
      </c>
      <c r="H35" s="27">
        <f t="shared" si="0"/>
        <v>10380</v>
      </c>
      <c r="I35" s="26">
        <v>10720</v>
      </c>
      <c r="J35" s="93" t="s">
        <v>279</v>
      </c>
      <c r="K35" s="93" t="s">
        <v>278</v>
      </c>
      <c r="L35" s="29" t="s">
        <v>223</v>
      </c>
      <c r="M35" s="27">
        <f t="shared" si="1"/>
        <v>-340</v>
      </c>
      <c r="N35" s="30"/>
      <c r="O35" s="31"/>
    </row>
    <row r="36" spans="1:15">
      <c r="A36" s="19" t="s">
        <v>111</v>
      </c>
      <c r="B36" s="19" t="s">
        <v>109</v>
      </c>
      <c r="C36" s="24" t="s">
        <v>110</v>
      </c>
      <c r="D36" s="33"/>
      <c r="E36" s="26">
        <v>10100</v>
      </c>
      <c r="F36" s="26">
        <v>150</v>
      </c>
      <c r="G36" s="27">
        <f>JAN!M36</f>
        <v>-170</v>
      </c>
      <c r="H36" s="27">
        <f t="shared" si="0"/>
        <v>10080</v>
      </c>
      <c r="I36" s="26">
        <f>10100</f>
        <v>10100</v>
      </c>
      <c r="J36" s="93"/>
      <c r="K36" s="93"/>
      <c r="L36" s="29" t="s">
        <v>223</v>
      </c>
      <c r="M36" s="27">
        <f t="shared" si="1"/>
        <v>-20</v>
      </c>
      <c r="N36" s="30"/>
      <c r="O36" s="31"/>
    </row>
    <row r="37" spans="1:15">
      <c r="A37" s="19" t="s">
        <v>114</v>
      </c>
      <c r="B37" s="19" t="s">
        <v>112</v>
      </c>
      <c r="C37" s="24" t="s">
        <v>113</v>
      </c>
      <c r="D37" s="33"/>
      <c r="E37" s="26">
        <v>10100</v>
      </c>
      <c r="F37" s="26">
        <v>300</v>
      </c>
      <c r="G37" s="27">
        <f>JAN!M37</f>
        <v>-40</v>
      </c>
      <c r="H37" s="27">
        <f t="shared" si="0"/>
        <v>10360</v>
      </c>
      <c r="I37" s="26">
        <f>10400</f>
        <v>10400</v>
      </c>
      <c r="J37" s="93" t="s">
        <v>291</v>
      </c>
      <c r="K37" s="93" t="s">
        <v>261</v>
      </c>
      <c r="L37" s="29" t="s">
        <v>223</v>
      </c>
      <c r="M37" s="27">
        <f t="shared" si="1"/>
        <v>-40</v>
      </c>
      <c r="N37" s="30"/>
      <c r="O37" s="31"/>
    </row>
    <row r="38" spans="1:15">
      <c r="A38" s="19" t="s">
        <v>117</v>
      </c>
      <c r="B38" s="19" t="s">
        <v>115</v>
      </c>
      <c r="C38" s="24" t="s">
        <v>116</v>
      </c>
      <c r="D38" s="33"/>
      <c r="E38" s="26">
        <v>10100</v>
      </c>
      <c r="F38" s="26">
        <v>600</v>
      </c>
      <c r="G38" s="27">
        <f>JAN!M38</f>
        <v>0</v>
      </c>
      <c r="H38" s="27">
        <f t="shared" si="0"/>
        <v>10700</v>
      </c>
      <c r="I38" s="26">
        <f>10100+10600</f>
        <v>20700</v>
      </c>
      <c r="J38" s="93" t="s">
        <v>304</v>
      </c>
      <c r="K38" s="93" t="s">
        <v>257</v>
      </c>
      <c r="L38" s="29" t="s">
        <v>223</v>
      </c>
      <c r="M38" s="27">
        <f t="shared" si="1"/>
        <v>-10000</v>
      </c>
      <c r="N38" s="30"/>
      <c r="O38" s="31"/>
    </row>
    <row r="39" spans="1:15">
      <c r="A39" s="19" t="s">
        <v>120</v>
      </c>
      <c r="B39" s="19" t="s">
        <v>118</v>
      </c>
      <c r="C39" s="24" t="s">
        <v>119</v>
      </c>
      <c r="D39" s="33"/>
      <c r="E39" s="26">
        <v>10100</v>
      </c>
      <c r="F39" s="26">
        <v>340</v>
      </c>
      <c r="G39" s="27">
        <f>JAN!M39</f>
        <v>-40</v>
      </c>
      <c r="H39" s="27">
        <f t="shared" si="0"/>
        <v>10400</v>
      </c>
      <c r="I39" s="26">
        <v>10400</v>
      </c>
      <c r="J39" s="93" t="s">
        <v>258</v>
      </c>
      <c r="K39" s="93" t="s">
        <v>259</v>
      </c>
      <c r="L39" s="29" t="s">
        <v>223</v>
      </c>
      <c r="M39" s="27">
        <f t="shared" si="1"/>
        <v>0</v>
      </c>
      <c r="N39" s="30"/>
      <c r="O39" s="31" t="s">
        <v>238</v>
      </c>
    </row>
    <row r="40" spans="1:15">
      <c r="A40" s="19" t="s">
        <v>122</v>
      </c>
      <c r="B40" s="19" t="s">
        <v>174</v>
      </c>
      <c r="C40" s="24" t="s">
        <v>121</v>
      </c>
      <c r="D40" s="33"/>
      <c r="E40" s="26">
        <v>10100</v>
      </c>
      <c r="F40" s="26">
        <v>1200</v>
      </c>
      <c r="G40" s="27">
        <f>JAN!M40</f>
        <v>0</v>
      </c>
      <c r="H40" s="27">
        <f t="shared" si="0"/>
        <v>11300</v>
      </c>
      <c r="I40" s="26">
        <f>1200+10100</f>
        <v>11300</v>
      </c>
      <c r="J40" s="93" t="s">
        <v>247</v>
      </c>
      <c r="K40" s="93" t="s">
        <v>232</v>
      </c>
      <c r="L40" s="29" t="s">
        <v>223</v>
      </c>
      <c r="M40" s="27">
        <f t="shared" si="1"/>
        <v>0</v>
      </c>
      <c r="N40" s="30"/>
      <c r="O40" s="31" t="s">
        <v>238</v>
      </c>
    </row>
    <row r="41" spans="1:15">
      <c r="A41" s="19" t="s">
        <v>123</v>
      </c>
      <c r="B41" s="19" t="s">
        <v>239</v>
      </c>
      <c r="C41" s="24"/>
      <c r="D41" s="33">
        <v>10000</v>
      </c>
      <c r="E41" s="26">
        <v>10100</v>
      </c>
      <c r="F41" s="26">
        <v>0</v>
      </c>
      <c r="G41" s="27">
        <f>JAN!M41</f>
        <v>0</v>
      </c>
      <c r="H41" s="27">
        <f t="shared" si="0"/>
        <v>20100</v>
      </c>
      <c r="I41" s="26">
        <f>20100</f>
        <v>20100</v>
      </c>
      <c r="J41" s="93" t="s">
        <v>234</v>
      </c>
      <c r="K41" s="93" t="s">
        <v>235</v>
      </c>
      <c r="L41" s="29" t="s">
        <v>223</v>
      </c>
      <c r="M41" s="27">
        <f t="shared" si="1"/>
        <v>0</v>
      </c>
      <c r="N41" s="30"/>
      <c r="O41" s="31" t="s">
        <v>238</v>
      </c>
    </row>
    <row r="42" spans="1:15">
      <c r="A42" s="19" t="s">
        <v>126</v>
      </c>
      <c r="B42" s="19" t="s">
        <v>124</v>
      </c>
      <c r="C42" s="24" t="s">
        <v>125</v>
      </c>
      <c r="D42" s="33"/>
      <c r="E42" s="26">
        <v>10100</v>
      </c>
      <c r="F42" s="26">
        <v>200</v>
      </c>
      <c r="G42" s="27">
        <f>JAN!M42</f>
        <v>0</v>
      </c>
      <c r="H42" s="27">
        <f t="shared" si="0"/>
        <v>10300</v>
      </c>
      <c r="I42" s="26">
        <f>10300</f>
        <v>10300</v>
      </c>
      <c r="J42" s="93" t="s">
        <v>256</v>
      </c>
      <c r="K42" s="93" t="s">
        <v>245</v>
      </c>
      <c r="L42" s="29" t="s">
        <v>223</v>
      </c>
      <c r="M42" s="27">
        <f t="shared" si="1"/>
        <v>0</v>
      </c>
      <c r="N42" s="30"/>
      <c r="O42" s="31" t="s">
        <v>238</v>
      </c>
    </row>
    <row r="43" spans="1:15">
      <c r="A43" s="19" t="s">
        <v>127</v>
      </c>
      <c r="B43" s="19" t="s">
        <v>169</v>
      </c>
      <c r="C43" s="24" t="s">
        <v>170</v>
      </c>
      <c r="D43" s="33"/>
      <c r="E43" s="26">
        <v>10100</v>
      </c>
      <c r="F43" s="26">
        <v>150</v>
      </c>
      <c r="G43" s="27">
        <f>JAN!M43</f>
        <v>6100</v>
      </c>
      <c r="H43" s="27">
        <f t="shared" si="0"/>
        <v>16350</v>
      </c>
      <c r="I43" s="26">
        <f>13500+150</f>
        <v>13650</v>
      </c>
      <c r="J43" s="93" t="s">
        <v>269</v>
      </c>
      <c r="K43" s="93" t="s">
        <v>270</v>
      </c>
      <c r="L43" s="29" t="s">
        <v>223</v>
      </c>
      <c r="M43" s="27">
        <f t="shared" si="1"/>
        <v>2700</v>
      </c>
      <c r="N43" s="30" t="s">
        <v>296</v>
      </c>
      <c r="O43" s="31" t="s">
        <v>238</v>
      </c>
    </row>
    <row r="44" spans="1:15">
      <c r="A44" s="19" t="s">
        <v>130</v>
      </c>
      <c r="B44" s="19" t="s">
        <v>128</v>
      </c>
      <c r="C44" s="24" t="s">
        <v>129</v>
      </c>
      <c r="D44" s="33"/>
      <c r="E44" s="26">
        <v>10100</v>
      </c>
      <c r="F44" s="26">
        <v>750</v>
      </c>
      <c r="G44" s="27">
        <f>JAN!M44</f>
        <v>-2061</v>
      </c>
      <c r="H44" s="27">
        <f t="shared" si="0"/>
        <v>8789</v>
      </c>
      <c r="I44" s="26">
        <f>10000</f>
        <v>10000</v>
      </c>
      <c r="J44" s="93" t="s">
        <v>243</v>
      </c>
      <c r="K44" s="93" t="s">
        <v>232</v>
      </c>
      <c r="L44" s="29" t="s">
        <v>223</v>
      </c>
      <c r="M44" s="27">
        <f t="shared" si="1"/>
        <v>-1211</v>
      </c>
      <c r="N44" s="30"/>
      <c r="O44" s="31" t="s">
        <v>238</v>
      </c>
    </row>
    <row r="45" spans="1:15">
      <c r="A45" s="19" t="s">
        <v>133</v>
      </c>
      <c r="B45" s="19" t="s">
        <v>300</v>
      </c>
      <c r="C45" s="24" t="s">
        <v>132</v>
      </c>
      <c r="D45" s="33"/>
      <c r="E45" s="26">
        <v>10100</v>
      </c>
      <c r="F45" s="26">
        <v>340</v>
      </c>
      <c r="G45" s="27">
        <f>JAN!M45</f>
        <v>-170</v>
      </c>
      <c r="H45" s="27">
        <f t="shared" si="0"/>
        <v>10270</v>
      </c>
      <c r="I45" s="26">
        <v>10270</v>
      </c>
      <c r="J45" s="93" t="s">
        <v>253</v>
      </c>
      <c r="K45" s="93" t="s">
        <v>245</v>
      </c>
      <c r="L45" s="29" t="s">
        <v>223</v>
      </c>
      <c r="M45" s="27">
        <f t="shared" si="1"/>
        <v>0</v>
      </c>
      <c r="N45" s="30"/>
      <c r="O45" s="31" t="s">
        <v>238</v>
      </c>
    </row>
    <row r="46" spans="1:15">
      <c r="A46" s="19" t="s">
        <v>136</v>
      </c>
      <c r="B46" s="19" t="s">
        <v>134</v>
      </c>
      <c r="C46" s="24" t="s">
        <v>135</v>
      </c>
      <c r="D46" s="33"/>
      <c r="E46" s="26">
        <v>10100</v>
      </c>
      <c r="F46" s="26">
        <v>750</v>
      </c>
      <c r="G46" s="27">
        <f>JAN!M46</f>
        <v>-111</v>
      </c>
      <c r="H46" s="27">
        <f t="shared" si="0"/>
        <v>10739</v>
      </c>
      <c r="I46" s="26">
        <f>10850</f>
        <v>10850</v>
      </c>
      <c r="J46" s="93" t="s">
        <v>242</v>
      </c>
      <c r="K46" s="93" t="s">
        <v>232</v>
      </c>
      <c r="L46" s="29" t="s">
        <v>223</v>
      </c>
      <c r="M46" s="27">
        <f t="shared" si="1"/>
        <v>-111</v>
      </c>
      <c r="N46" s="30"/>
      <c r="O46" s="31" t="s">
        <v>238</v>
      </c>
    </row>
    <row r="47" spans="1:15">
      <c r="A47" s="19" t="s">
        <v>139</v>
      </c>
      <c r="B47" s="19" t="s">
        <v>137</v>
      </c>
      <c r="C47" s="24" t="s">
        <v>138</v>
      </c>
      <c r="D47" s="33"/>
      <c r="E47" s="26">
        <v>10100</v>
      </c>
      <c r="F47" s="26">
        <v>300</v>
      </c>
      <c r="G47" s="27">
        <f>JAN!M47</f>
        <v>0</v>
      </c>
      <c r="H47" s="27">
        <f t="shared" si="0"/>
        <v>10400</v>
      </c>
      <c r="I47" s="26">
        <f>10400</f>
        <v>10400</v>
      </c>
      <c r="J47" s="93" t="s">
        <v>231</v>
      </c>
      <c r="K47" s="93" t="s">
        <v>232</v>
      </c>
      <c r="L47" s="29" t="s">
        <v>223</v>
      </c>
      <c r="M47" s="27">
        <f t="shared" si="1"/>
        <v>0</v>
      </c>
      <c r="N47" s="30"/>
      <c r="O47" s="31"/>
    </row>
    <row r="48" spans="1:15">
      <c r="A48" s="19" t="s">
        <v>142</v>
      </c>
      <c r="B48" s="19" t="s">
        <v>140</v>
      </c>
      <c r="C48" s="24" t="s">
        <v>293</v>
      </c>
      <c r="D48" s="33"/>
      <c r="E48" s="26">
        <v>10100</v>
      </c>
      <c r="F48" s="26">
        <v>170</v>
      </c>
      <c r="G48" s="27">
        <f>JAN!M48</f>
        <v>0</v>
      </c>
      <c r="H48" s="27">
        <f t="shared" si="0"/>
        <v>10270</v>
      </c>
      <c r="I48" s="26">
        <v>10270</v>
      </c>
      <c r="J48" s="93" t="s">
        <v>294</v>
      </c>
      <c r="K48" s="93" t="s">
        <v>278</v>
      </c>
      <c r="L48" s="29" t="s">
        <v>223</v>
      </c>
      <c r="M48" s="27">
        <f t="shared" si="1"/>
        <v>0</v>
      </c>
      <c r="N48" s="30"/>
      <c r="O48" s="31" t="s">
        <v>238</v>
      </c>
    </row>
    <row r="49" spans="1:19">
      <c r="A49" s="19" t="s">
        <v>145</v>
      </c>
      <c r="B49" s="19" t="s">
        <v>143</v>
      </c>
      <c r="C49" s="24" t="s">
        <v>144</v>
      </c>
      <c r="D49" s="33"/>
      <c r="E49" s="26">
        <v>10100</v>
      </c>
      <c r="F49" s="26">
        <v>300</v>
      </c>
      <c r="G49" s="27">
        <f>JAN!M49</f>
        <v>-125</v>
      </c>
      <c r="H49" s="27">
        <f t="shared" si="0"/>
        <v>10275</v>
      </c>
      <c r="I49" s="26">
        <v>10400</v>
      </c>
      <c r="J49" s="93" t="s">
        <v>276</v>
      </c>
      <c r="K49" s="93" t="s">
        <v>245</v>
      </c>
      <c r="L49" s="29" t="s">
        <v>223</v>
      </c>
      <c r="M49" s="27">
        <f t="shared" si="1"/>
        <v>-125</v>
      </c>
      <c r="N49" s="30"/>
      <c r="O49" s="31"/>
    </row>
    <row r="50" spans="1:19">
      <c r="A50" s="19" t="s">
        <v>148</v>
      </c>
      <c r="B50" s="19" t="s">
        <v>146</v>
      </c>
      <c r="C50" s="24" t="s">
        <v>147</v>
      </c>
      <c r="D50" s="33"/>
      <c r="E50" s="26">
        <v>10100</v>
      </c>
      <c r="F50" s="26">
        <v>150</v>
      </c>
      <c r="G50" s="27">
        <f>JAN!M50</f>
        <v>0</v>
      </c>
      <c r="H50" s="27">
        <f t="shared" si="0"/>
        <v>10250</v>
      </c>
      <c r="I50" s="26">
        <f>10250</f>
        <v>10250</v>
      </c>
      <c r="J50" s="93" t="s">
        <v>263</v>
      </c>
      <c r="K50" s="93" t="s">
        <v>264</v>
      </c>
      <c r="L50" s="29" t="s">
        <v>223</v>
      </c>
      <c r="M50" s="27">
        <f t="shared" si="1"/>
        <v>0</v>
      </c>
      <c r="N50" s="30"/>
      <c r="O50" s="31"/>
    </row>
    <row r="51" spans="1:19">
      <c r="A51" s="19" t="s">
        <v>156</v>
      </c>
      <c r="B51" s="19" t="s">
        <v>159</v>
      </c>
      <c r="C51" s="24" t="s">
        <v>285</v>
      </c>
      <c r="D51" s="33"/>
      <c r="E51" s="26">
        <v>10100</v>
      </c>
      <c r="F51" s="26">
        <v>150</v>
      </c>
      <c r="G51" s="27">
        <f>JAN!M51</f>
        <v>-40</v>
      </c>
      <c r="H51" s="27">
        <f t="shared" si="0"/>
        <v>10210</v>
      </c>
      <c r="I51" s="26">
        <f>10250</f>
        <v>10250</v>
      </c>
      <c r="J51" s="93" t="s">
        <v>252</v>
      </c>
      <c r="K51" s="93" t="s">
        <v>245</v>
      </c>
      <c r="L51" s="29" t="s">
        <v>223</v>
      </c>
      <c r="M51" s="27">
        <f t="shared" si="1"/>
        <v>-40</v>
      </c>
      <c r="N51" s="30"/>
      <c r="O51" s="31" t="s">
        <v>238</v>
      </c>
    </row>
    <row r="52" spans="1:19">
      <c r="A52" s="19" t="s">
        <v>157</v>
      </c>
      <c r="B52" s="19" t="s">
        <v>149</v>
      </c>
      <c r="C52" s="24" t="s">
        <v>150</v>
      </c>
      <c r="D52" s="33"/>
      <c r="E52" s="26">
        <v>10100</v>
      </c>
      <c r="F52" s="26">
        <v>0</v>
      </c>
      <c r="G52" s="27">
        <f>JAN!M52</f>
        <v>0</v>
      </c>
      <c r="H52" s="27">
        <f t="shared" si="0"/>
        <v>10100</v>
      </c>
      <c r="I52" s="26">
        <f>10100</f>
        <v>10100</v>
      </c>
      <c r="J52" s="93" t="s">
        <v>277</v>
      </c>
      <c r="K52" s="93" t="s">
        <v>278</v>
      </c>
      <c r="L52" s="29" t="s">
        <v>223</v>
      </c>
      <c r="M52" s="27">
        <f t="shared" si="1"/>
        <v>0</v>
      </c>
      <c r="N52" s="30"/>
      <c r="O52" s="31"/>
    </row>
    <row r="53" spans="1:19">
      <c r="A53" s="19" t="s">
        <v>158</v>
      </c>
      <c r="B53" s="79" t="s">
        <v>160</v>
      </c>
      <c r="D53" s="33"/>
      <c r="E53" s="26">
        <v>10100</v>
      </c>
      <c r="F53" s="26">
        <v>300</v>
      </c>
      <c r="G53" s="27">
        <f>JAN!M53</f>
        <v>-190</v>
      </c>
      <c r="H53" s="27">
        <f t="shared" si="0"/>
        <v>10210</v>
      </c>
      <c r="I53" s="26">
        <f>10440</f>
        <v>10440</v>
      </c>
      <c r="J53" s="93" t="s">
        <v>303</v>
      </c>
      <c r="K53" s="93" t="s">
        <v>259</v>
      </c>
      <c r="L53" s="29" t="s">
        <v>223</v>
      </c>
      <c r="M53" s="27">
        <f t="shared" si="1"/>
        <v>-230</v>
      </c>
      <c r="N53" s="30"/>
      <c r="O53" s="31"/>
    </row>
    <row r="54" spans="1:19">
      <c r="A54" s="19" t="s">
        <v>151</v>
      </c>
      <c r="B54" s="19" t="s">
        <v>152</v>
      </c>
      <c r="C54" s="24" t="s">
        <v>153</v>
      </c>
      <c r="D54" s="33"/>
      <c r="E54" s="26">
        <v>10100</v>
      </c>
      <c r="F54" s="26">
        <v>300</v>
      </c>
      <c r="G54" s="27">
        <f>JAN!M54</f>
        <v>-80</v>
      </c>
      <c r="H54" s="27">
        <f t="shared" si="0"/>
        <v>10320</v>
      </c>
      <c r="I54" s="26">
        <f>10400</f>
        <v>10400</v>
      </c>
      <c r="J54" s="93" t="s">
        <v>244</v>
      </c>
      <c r="K54" s="93" t="s">
        <v>245</v>
      </c>
      <c r="L54" s="29" t="s">
        <v>223</v>
      </c>
      <c r="M54" s="27">
        <f t="shared" si="1"/>
        <v>-80</v>
      </c>
      <c r="N54" s="30"/>
      <c r="O54" s="31" t="s">
        <v>238</v>
      </c>
    </row>
    <row r="55" spans="1:19">
      <c r="A55" s="19" t="s">
        <v>161</v>
      </c>
      <c r="B55" s="19" t="s">
        <v>154</v>
      </c>
      <c r="C55" s="24" t="s">
        <v>155</v>
      </c>
      <c r="D55" s="33"/>
      <c r="E55" s="26">
        <v>10100</v>
      </c>
      <c r="F55" s="26">
        <v>300</v>
      </c>
      <c r="G55" s="27">
        <f>JAN!M55</f>
        <v>-250</v>
      </c>
      <c r="H55" s="27">
        <f t="shared" si="0"/>
        <v>10150</v>
      </c>
      <c r="I55" s="26">
        <f>10400</f>
        <v>10400</v>
      </c>
      <c r="J55" s="93" t="s">
        <v>290</v>
      </c>
      <c r="K55" s="93"/>
      <c r="L55" s="29" t="s">
        <v>223</v>
      </c>
      <c r="M55" s="27">
        <f t="shared" si="1"/>
        <v>-250</v>
      </c>
      <c r="N55" s="30"/>
      <c r="O55" s="31" t="s">
        <v>238</v>
      </c>
    </row>
    <row r="56" spans="1:19">
      <c r="A56" s="19" t="s">
        <v>162</v>
      </c>
      <c r="B56" s="19" t="s">
        <v>273</v>
      </c>
      <c r="C56" s="24" t="s">
        <v>272</v>
      </c>
      <c r="D56" s="33">
        <v>9500</v>
      </c>
      <c r="E56" s="26">
        <v>9600</v>
      </c>
      <c r="F56" s="26">
        <v>0</v>
      </c>
      <c r="G56" s="27">
        <f>JAN!M56</f>
        <v>0</v>
      </c>
      <c r="H56" s="27">
        <f t="shared" si="0"/>
        <v>19100</v>
      </c>
      <c r="I56" s="26">
        <f>19200</f>
        <v>19200</v>
      </c>
      <c r="J56" s="93" t="s">
        <v>267</v>
      </c>
      <c r="K56" s="93" t="s">
        <v>268</v>
      </c>
      <c r="L56" s="29" t="s">
        <v>223</v>
      </c>
      <c r="M56" s="27">
        <f t="shared" si="1"/>
        <v>-100</v>
      </c>
      <c r="N56" s="30"/>
      <c r="O56" s="31" t="s">
        <v>238</v>
      </c>
    </row>
    <row r="57" spans="1:19">
      <c r="A57" s="52" t="s">
        <v>25</v>
      </c>
      <c r="B57" s="19"/>
      <c r="C57" s="53"/>
      <c r="D57" s="54"/>
      <c r="E57" s="54">
        <f>SUM(E9:E56)</f>
        <v>480200</v>
      </c>
      <c r="F57" s="54">
        <f>SUM(F9:F56)</f>
        <v>15582</v>
      </c>
      <c r="G57" s="54">
        <f>SUM(G9:G56)</f>
        <v>28360</v>
      </c>
      <c r="H57" s="54">
        <f>SUM(H9:H56)</f>
        <v>563642</v>
      </c>
      <c r="I57" s="54">
        <f>SUM(I9:I56)</f>
        <v>540437</v>
      </c>
      <c r="J57" s="54"/>
      <c r="K57" s="54"/>
      <c r="L57" s="54"/>
      <c r="M57" s="54">
        <f>SUM(M9:M56)</f>
        <v>23205</v>
      </c>
      <c r="N57" s="55"/>
      <c r="O57" s="55"/>
      <c r="S57" s="51"/>
    </row>
    <row r="58" spans="1:19">
      <c r="A58" s="12"/>
      <c r="B58" s="19"/>
      <c r="C58" s="53"/>
      <c r="D58" s="56"/>
      <c r="E58" s="57"/>
      <c r="F58" s="57"/>
      <c r="G58" s="58"/>
      <c r="H58" s="57"/>
      <c r="I58" s="57"/>
      <c r="J58" s="12"/>
      <c r="K58" s="12"/>
      <c r="L58" s="12"/>
      <c r="M58" s="57"/>
      <c r="N58" s="57"/>
      <c r="O58" s="57"/>
    </row>
    <row r="59" spans="1:19">
      <c r="A59" s="59" t="s">
        <v>26</v>
      </c>
      <c r="B59" s="19"/>
      <c r="C59" s="53"/>
      <c r="D59" s="56"/>
      <c r="E59" s="57"/>
      <c r="F59" s="57"/>
      <c r="G59" s="58"/>
      <c r="H59" s="57"/>
      <c r="I59" s="57"/>
      <c r="J59" s="12"/>
      <c r="K59" s="12"/>
      <c r="L59" s="12"/>
      <c r="M59" s="57"/>
      <c r="N59" s="57"/>
      <c r="O59" s="57"/>
    </row>
    <row r="60" spans="1:19">
      <c r="A60" s="19" t="s">
        <v>27</v>
      </c>
      <c r="B60" s="19"/>
      <c r="C60" s="53"/>
      <c r="D60" s="19"/>
      <c r="E60" s="19"/>
      <c r="F60" s="19"/>
      <c r="G60" s="20"/>
      <c r="H60" s="19"/>
      <c r="I60" s="60">
        <f>6%*I57</f>
        <v>32426.219999999998</v>
      </c>
      <c r="J60" s="19"/>
      <c r="K60" s="19"/>
      <c r="L60" s="19"/>
      <c r="M60" s="19"/>
      <c r="N60" s="15"/>
      <c r="O60" s="19"/>
    </row>
    <row r="61" spans="1:19" ht="16.5">
      <c r="A61" s="15" t="s">
        <v>28</v>
      </c>
      <c r="B61" s="15"/>
      <c r="C61" s="15"/>
      <c r="D61" s="15"/>
      <c r="E61" s="15"/>
      <c r="F61" s="15"/>
      <c r="G61" s="61"/>
      <c r="H61" s="15"/>
      <c r="I61" s="62">
        <f>SUM(I60:I60)</f>
        <v>32426.219999999998</v>
      </c>
      <c r="J61" s="15"/>
      <c r="K61" s="15"/>
      <c r="L61" s="19"/>
      <c r="M61" s="15"/>
      <c r="N61" s="15"/>
      <c r="O61" s="15"/>
    </row>
    <row r="62" spans="1:19">
      <c r="A62" s="15"/>
      <c r="B62" s="15"/>
      <c r="C62" s="15"/>
      <c r="D62" s="15"/>
      <c r="E62" s="15"/>
      <c r="F62" s="15"/>
      <c r="G62" s="61"/>
      <c r="H62" s="15"/>
      <c r="I62" s="63"/>
      <c r="J62" s="15"/>
      <c r="K62" s="15"/>
      <c r="L62" s="15"/>
      <c r="M62" s="15"/>
      <c r="N62" s="15"/>
      <c r="O62" s="15"/>
    </row>
    <row r="63" spans="1:19">
      <c r="A63" s="2" t="s">
        <v>29</v>
      </c>
      <c r="B63" s="2"/>
      <c r="C63" s="2"/>
      <c r="D63" s="2"/>
      <c r="E63" s="2"/>
      <c r="F63" s="2"/>
      <c r="G63" s="64"/>
      <c r="H63" s="2"/>
      <c r="I63" s="47"/>
      <c r="J63" s="65" t="s">
        <v>30</v>
      </c>
      <c r="K63" s="65"/>
      <c r="L63" s="65" t="s">
        <v>30</v>
      </c>
      <c r="M63" s="66" t="s">
        <v>31</v>
      </c>
    </row>
    <row r="64" spans="1:19" ht="15.75" thickBot="1">
      <c r="A64" s="1" t="s">
        <v>32</v>
      </c>
      <c r="B64" s="1"/>
      <c r="C64" s="1"/>
      <c r="D64" s="1"/>
      <c r="E64" s="1"/>
      <c r="F64" s="1"/>
      <c r="G64" s="67"/>
      <c r="H64" s="68"/>
      <c r="I64" s="69">
        <f>I61</f>
        <v>32426.219999999998</v>
      </c>
      <c r="J64" s="70"/>
      <c r="K64" s="70"/>
      <c r="L64" s="71"/>
      <c r="M64" s="72">
        <f>I64-J64-L64</f>
        <v>32426.219999999998</v>
      </c>
    </row>
    <row r="65" spans="1:15" ht="15.75" thickTop="1">
      <c r="A65" s="1"/>
      <c r="B65" s="2"/>
      <c r="C65" s="2"/>
      <c r="D65" s="68"/>
      <c r="E65" s="68"/>
      <c r="F65" s="68"/>
      <c r="G65" s="70"/>
      <c r="H65" s="2"/>
      <c r="I65" s="73"/>
      <c r="J65" s="19"/>
      <c r="K65" s="19"/>
      <c r="L65" s="2"/>
      <c r="M65" s="19"/>
      <c r="N65" s="2"/>
      <c r="O65" s="68"/>
    </row>
    <row r="66" spans="1:15">
      <c r="A66" s="2" t="s">
        <v>33</v>
      </c>
      <c r="B66" s="2"/>
      <c r="C66" s="2"/>
      <c r="D66" s="2"/>
      <c r="E66" s="2"/>
      <c r="F66" s="2"/>
      <c r="G66" s="64"/>
      <c r="H66" s="2"/>
      <c r="I66" s="27"/>
      <c r="J66" s="19"/>
      <c r="K66" s="19"/>
      <c r="L66" s="2"/>
      <c r="M66" s="74">
        <v>46053</v>
      </c>
      <c r="N66" s="75"/>
      <c r="O66" s="76"/>
    </row>
    <row r="67" spans="1:15">
      <c r="A67" s="44"/>
      <c r="B67" s="44"/>
      <c r="C67" s="44"/>
      <c r="D67" s="44"/>
      <c r="E67" s="44"/>
      <c r="F67" s="44"/>
      <c r="G67" s="44"/>
      <c r="H67" s="44"/>
      <c r="L67" s="44"/>
      <c r="N67" s="44"/>
      <c r="O67" s="44"/>
    </row>
    <row r="68" spans="1:15" s="44" customFormat="1">
      <c r="I68"/>
      <c r="J68"/>
      <c r="K68"/>
      <c r="M68"/>
    </row>
    <row r="69" spans="1:15">
      <c r="A69" s="44"/>
      <c r="B69" s="44"/>
      <c r="C69" s="44"/>
      <c r="D69" s="44"/>
      <c r="E69" s="44"/>
      <c r="F69" s="44"/>
      <c r="G69" s="44"/>
      <c r="H69" s="44"/>
      <c r="L69" s="44"/>
      <c r="N69" s="44"/>
      <c r="O69" s="44"/>
    </row>
    <row r="70" spans="1:15">
      <c r="E70">
        <f>I57/H57*100</f>
        <v>95.883025040717342</v>
      </c>
    </row>
  </sheetData>
  <mergeCells count="1">
    <mergeCell ref="A3:M3"/>
  </mergeCells>
  <pageMargins left="0.25" right="0.25" top="0.75" bottom="0.75" header="0.3" footer="0.3"/>
  <pageSetup scale="2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EE81-8806-4746-91F5-8D84FFFA773E}">
  <sheetPr>
    <pageSetUpPr fitToPage="1"/>
  </sheetPr>
  <dimension ref="A1:S71"/>
  <sheetViews>
    <sheetView topLeftCell="A10" zoomScale="93" zoomScaleNormal="93" workbookViewId="0">
      <selection activeCell="A36" sqref="A36:XFD36"/>
    </sheetView>
  </sheetViews>
  <sheetFormatPr defaultColWidth="9" defaultRowHeight="15"/>
  <cols>
    <col min="2" max="2" width="15.28515625" customWidth="1"/>
    <col min="3" max="3" width="11.140625" customWidth="1"/>
    <col min="5" max="6" width="9.7109375" customWidth="1"/>
    <col min="7" max="7" width="9.42578125" customWidth="1"/>
    <col min="8" max="8" width="10" customWidth="1"/>
    <col min="9" max="9" width="11.28515625" customWidth="1"/>
    <col min="10" max="10" width="33.7109375" customWidth="1"/>
    <col min="11" max="11" width="32.7109375" customWidth="1"/>
    <col min="12" max="12" width="8.28515625" customWidth="1"/>
    <col min="13" max="13" width="13.7109375" customWidth="1"/>
    <col min="14" max="14" width="11.7109375" customWidth="1"/>
    <col min="15" max="15" width="12.7109375" customWidth="1"/>
    <col min="16" max="18" width="0" hidden="1" customWidth="1"/>
  </cols>
  <sheetData>
    <row r="1" spans="1:15">
      <c r="A1" s="1"/>
      <c r="B1" s="2"/>
      <c r="C1" s="3" t="s">
        <v>0</v>
      </c>
      <c r="D1" s="4"/>
      <c r="E1" s="2"/>
      <c r="F1" s="2"/>
      <c r="G1" s="5"/>
      <c r="H1" s="6"/>
      <c r="I1" s="7"/>
      <c r="J1" s="8"/>
      <c r="K1" s="8"/>
      <c r="L1" s="9"/>
      <c r="M1" s="10"/>
      <c r="N1" s="11"/>
      <c r="O1" s="11"/>
    </row>
    <row r="2" spans="1:15">
      <c r="A2" s="1" t="s">
        <v>1</v>
      </c>
      <c r="B2" s="1"/>
      <c r="C2" s="1"/>
      <c r="D2" s="1"/>
      <c r="E2" s="6"/>
      <c r="F2" s="6"/>
      <c r="G2" s="5"/>
      <c r="H2" s="6"/>
      <c r="I2" s="7"/>
      <c r="J2" s="8"/>
      <c r="K2" s="8"/>
      <c r="L2" s="9"/>
      <c r="M2" s="10"/>
      <c r="N2" s="11"/>
      <c r="O2" s="11"/>
    </row>
    <row r="3" spans="1:15">
      <c r="A3" s="104" t="s">
        <v>377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"/>
      <c r="O3" s="1"/>
    </row>
    <row r="4" spans="1:15">
      <c r="A4" s="12"/>
      <c r="B4" s="12"/>
      <c r="C4" s="12"/>
      <c r="D4" s="7"/>
      <c r="E4" s="7"/>
      <c r="F4" s="7"/>
      <c r="G4" s="13"/>
      <c r="H4" s="7"/>
      <c r="I4" s="7"/>
      <c r="J4" s="8" t="s">
        <v>3</v>
      </c>
      <c r="K4" s="8"/>
      <c r="L4" s="8"/>
      <c r="M4" s="14"/>
      <c r="N4" s="14"/>
      <c r="O4" s="14"/>
    </row>
    <row r="5" spans="1:15">
      <c r="A5" s="15" t="s">
        <v>34</v>
      </c>
      <c r="B5" s="15"/>
      <c r="C5" s="15"/>
      <c r="D5" s="14"/>
      <c r="E5" s="14"/>
      <c r="F5" s="14"/>
      <c r="G5" s="16"/>
      <c r="H5" s="14"/>
      <c r="I5" s="14"/>
      <c r="J5" s="17" t="s">
        <v>4</v>
      </c>
      <c r="K5" s="17"/>
      <c r="L5" s="17"/>
      <c r="M5" s="14"/>
      <c r="N5" s="14"/>
      <c r="O5" s="14"/>
    </row>
    <row r="6" spans="1:15">
      <c r="A6" s="15" t="s">
        <v>5</v>
      </c>
      <c r="B6" s="18"/>
      <c r="C6" s="15"/>
      <c r="D6" s="19"/>
      <c r="E6" s="19"/>
      <c r="F6" s="19"/>
      <c r="G6" s="20"/>
      <c r="H6" s="19"/>
      <c r="I6" s="14" t="s">
        <v>6</v>
      </c>
      <c r="J6" s="17" t="s">
        <v>197</v>
      </c>
      <c r="K6" s="17"/>
      <c r="L6" s="17"/>
      <c r="M6" s="14"/>
      <c r="N6" s="14"/>
      <c r="O6" s="14"/>
    </row>
    <row r="7" spans="1:15">
      <c r="A7" s="15"/>
      <c r="B7" s="15"/>
      <c r="C7" s="15"/>
      <c r="D7" s="19"/>
      <c r="E7" s="19"/>
      <c r="F7" s="19"/>
      <c r="G7" s="20"/>
      <c r="H7" s="19"/>
      <c r="I7" s="14" t="s">
        <v>7</v>
      </c>
      <c r="J7" s="78" t="s">
        <v>198</v>
      </c>
      <c r="K7" s="78"/>
      <c r="L7" s="17"/>
      <c r="M7" s="14"/>
      <c r="N7" s="14"/>
      <c r="O7" s="14"/>
    </row>
    <row r="8" spans="1:15" ht="24.75">
      <c r="A8" s="12" t="s">
        <v>8</v>
      </c>
      <c r="B8" s="12" t="s">
        <v>9</v>
      </c>
      <c r="C8" s="12" t="s">
        <v>10</v>
      </c>
      <c r="D8" s="21" t="s">
        <v>11</v>
      </c>
      <c r="E8" s="22" t="s">
        <v>12</v>
      </c>
      <c r="F8" s="22" t="s">
        <v>163</v>
      </c>
      <c r="G8" s="13" t="s">
        <v>13</v>
      </c>
      <c r="H8" s="23" t="s">
        <v>14</v>
      </c>
      <c r="I8" s="7" t="s">
        <v>15</v>
      </c>
      <c r="J8" s="12" t="s">
        <v>16</v>
      </c>
      <c r="K8" s="12" t="s">
        <v>207</v>
      </c>
      <c r="L8" s="12" t="s">
        <v>17</v>
      </c>
      <c r="M8" s="7" t="s">
        <v>18</v>
      </c>
      <c r="N8" s="7" t="s">
        <v>19</v>
      </c>
      <c r="O8" s="7" t="s">
        <v>20</v>
      </c>
    </row>
    <row r="9" spans="1:15">
      <c r="A9" s="19" t="s">
        <v>35</v>
      </c>
      <c r="B9" s="19" t="s">
        <v>45</v>
      </c>
      <c r="C9" s="24" t="s">
        <v>46</v>
      </c>
      <c r="D9" s="25"/>
      <c r="E9" s="26">
        <v>10100</v>
      </c>
      <c r="F9" s="26">
        <v>600</v>
      </c>
      <c r="G9" s="27">
        <f>FEBRUARY!M9</f>
        <v>0</v>
      </c>
      <c r="H9" s="27">
        <f>D9+E9+G9+F9</f>
        <v>10700</v>
      </c>
      <c r="I9" s="26">
        <f>10700</f>
        <v>10700</v>
      </c>
      <c r="J9" s="93" t="s">
        <v>328</v>
      </c>
      <c r="K9" s="93" t="s">
        <v>316</v>
      </c>
      <c r="L9" s="29" t="s">
        <v>305</v>
      </c>
      <c r="M9" s="27">
        <f>H9-I9</f>
        <v>0</v>
      </c>
      <c r="N9" s="30"/>
      <c r="O9" s="31"/>
    </row>
    <row r="10" spans="1:15">
      <c r="A10" s="32" t="s">
        <v>37</v>
      </c>
      <c r="B10" s="32" t="s">
        <v>47</v>
      </c>
      <c r="C10" s="24" t="s">
        <v>48</v>
      </c>
      <c r="D10" s="33"/>
      <c r="E10" s="26">
        <v>10100</v>
      </c>
      <c r="F10" s="26">
        <v>630.00000000000045</v>
      </c>
      <c r="G10" s="27">
        <f>FEBRUARY!M10</f>
        <v>0</v>
      </c>
      <c r="H10" s="27">
        <f t="shared" ref="H10:H56" si="0">D10+E10+G10+F10</f>
        <v>10730</v>
      </c>
      <c r="I10" s="26">
        <f>10730</f>
        <v>10730</v>
      </c>
      <c r="J10" s="93" t="s">
        <v>335</v>
      </c>
      <c r="K10" s="93" t="s">
        <v>336</v>
      </c>
      <c r="L10" s="29" t="s">
        <v>305</v>
      </c>
      <c r="M10" s="27">
        <f t="shared" ref="M10:M56" si="1">H10-I10</f>
        <v>0</v>
      </c>
      <c r="N10" s="30"/>
      <c r="O10" s="31" t="s">
        <v>238</v>
      </c>
    </row>
    <row r="11" spans="1:15">
      <c r="A11" s="19" t="s">
        <v>36</v>
      </c>
      <c r="B11" s="32" t="s">
        <v>477</v>
      </c>
      <c r="C11" s="24" t="s">
        <v>284</v>
      </c>
      <c r="D11" s="34"/>
      <c r="E11" s="26">
        <v>10100</v>
      </c>
      <c r="F11" s="26">
        <v>420.00000000000171</v>
      </c>
      <c r="G11" s="27">
        <f>FEBRUARY!M11</f>
        <v>0</v>
      </c>
      <c r="H11" s="27">
        <f t="shared" si="0"/>
        <v>10520.000000000002</v>
      </c>
      <c r="I11" s="26">
        <f>41000</f>
        <v>41000</v>
      </c>
      <c r="J11" s="93" t="s">
        <v>344</v>
      </c>
      <c r="K11" s="93" t="s">
        <v>313</v>
      </c>
      <c r="L11" s="29" t="s">
        <v>305</v>
      </c>
      <c r="M11" s="27">
        <f t="shared" si="1"/>
        <v>-30480</v>
      </c>
      <c r="N11" s="30"/>
      <c r="O11" s="31"/>
    </row>
    <row r="12" spans="1:15">
      <c r="A12" s="19" t="s">
        <v>38</v>
      </c>
      <c r="B12" s="19" t="s">
        <v>24</v>
      </c>
      <c r="C12" s="24" t="s">
        <v>298</v>
      </c>
      <c r="D12" s="34"/>
      <c r="E12" s="26">
        <v>10100</v>
      </c>
      <c r="F12" s="26">
        <v>360.00000000000085</v>
      </c>
      <c r="G12" s="27">
        <f>FEBRUARY!M12</f>
        <v>-304</v>
      </c>
      <c r="H12" s="27">
        <f t="shared" si="0"/>
        <v>10156</v>
      </c>
      <c r="I12" s="26">
        <f>5000+5460</f>
        <v>10460</v>
      </c>
      <c r="J12" s="93" t="s">
        <v>364</v>
      </c>
      <c r="K12" s="93" t="s">
        <v>365</v>
      </c>
      <c r="L12" s="29" t="s">
        <v>305</v>
      </c>
      <c r="M12" s="27">
        <f t="shared" si="1"/>
        <v>-304</v>
      </c>
      <c r="N12" s="35" t="s">
        <v>349</v>
      </c>
      <c r="O12" s="31" t="s">
        <v>238</v>
      </c>
    </row>
    <row r="13" spans="1:15">
      <c r="A13" s="19" t="s">
        <v>39</v>
      </c>
      <c r="B13" s="32" t="s">
        <v>50</v>
      </c>
      <c r="C13" s="36" t="s">
        <v>51</v>
      </c>
      <c r="D13" s="33"/>
      <c r="E13" s="26">
        <v>10100</v>
      </c>
      <c r="F13" s="26">
        <v>585.00000000000091</v>
      </c>
      <c r="G13" s="27">
        <f>FEBRUARY!M13</f>
        <v>0</v>
      </c>
      <c r="H13" s="27">
        <f t="shared" si="0"/>
        <v>10685</v>
      </c>
      <c r="I13" s="26">
        <f>10600</f>
        <v>10600</v>
      </c>
      <c r="J13" s="93" t="s">
        <v>348</v>
      </c>
      <c r="K13" s="93" t="s">
        <v>334</v>
      </c>
      <c r="L13" s="29" t="s">
        <v>305</v>
      </c>
      <c r="M13" s="27">
        <f t="shared" si="1"/>
        <v>85</v>
      </c>
      <c r="N13" s="30"/>
      <c r="O13" s="31" t="s">
        <v>238</v>
      </c>
    </row>
    <row r="14" spans="1:15">
      <c r="A14" s="19" t="s">
        <v>40</v>
      </c>
      <c r="B14" s="19" t="s">
        <v>52</v>
      </c>
      <c r="C14" s="24" t="s">
        <v>53</v>
      </c>
      <c r="D14" s="34"/>
      <c r="E14" s="26">
        <v>10100</v>
      </c>
      <c r="F14" s="26">
        <v>164.99999999999915</v>
      </c>
      <c r="G14" s="27">
        <f>FEBRUARY!M14</f>
        <v>0</v>
      </c>
      <c r="H14" s="27">
        <f t="shared" si="0"/>
        <v>10265</v>
      </c>
      <c r="I14" s="26">
        <f>10165</f>
        <v>10165</v>
      </c>
      <c r="J14" s="95" t="s">
        <v>317</v>
      </c>
      <c r="K14" s="95" t="s">
        <v>316</v>
      </c>
      <c r="L14" s="29" t="s">
        <v>305</v>
      </c>
      <c r="M14" s="27">
        <f t="shared" si="1"/>
        <v>100</v>
      </c>
      <c r="N14" s="30"/>
      <c r="O14" s="31" t="s">
        <v>238</v>
      </c>
    </row>
    <row r="15" spans="1:15" s="44" customFormat="1">
      <c r="A15" s="38" t="s">
        <v>41</v>
      </c>
      <c r="B15" s="2" t="s">
        <v>54</v>
      </c>
      <c r="C15" s="39" t="s">
        <v>55</v>
      </c>
      <c r="D15" s="40"/>
      <c r="E15" s="41">
        <v>10100</v>
      </c>
      <c r="F15" s="41">
        <v>150</v>
      </c>
      <c r="G15" s="27">
        <f>FEBRUARY!M15</f>
        <v>-160</v>
      </c>
      <c r="H15" s="27">
        <f t="shared" si="0"/>
        <v>10090</v>
      </c>
      <c r="I15" s="26">
        <f>10250</f>
        <v>10250</v>
      </c>
      <c r="J15" s="93" t="s">
        <v>324</v>
      </c>
      <c r="K15" s="93" t="s">
        <v>316</v>
      </c>
      <c r="L15" s="29" t="s">
        <v>305</v>
      </c>
      <c r="M15" s="27">
        <f t="shared" si="1"/>
        <v>-160</v>
      </c>
      <c r="N15" s="42"/>
      <c r="O15" s="43"/>
    </row>
    <row r="16" spans="1:15">
      <c r="A16" s="19" t="s">
        <v>42</v>
      </c>
      <c r="B16" s="19" t="s">
        <v>56</v>
      </c>
      <c r="C16" s="24" t="s">
        <v>57</v>
      </c>
      <c r="D16" s="34"/>
      <c r="E16" s="26">
        <v>12100</v>
      </c>
      <c r="F16" s="26">
        <v>719.99999999999955</v>
      </c>
      <c r="G16" s="27">
        <f>FEBRUARY!M16</f>
        <v>0</v>
      </c>
      <c r="H16" s="27">
        <f t="shared" si="0"/>
        <v>12820</v>
      </c>
      <c r="I16" s="26">
        <f>12820</f>
        <v>12820</v>
      </c>
      <c r="J16" s="95" t="s">
        <v>340</v>
      </c>
      <c r="K16" s="95" t="s">
        <v>316</v>
      </c>
      <c r="L16" s="29" t="s">
        <v>305</v>
      </c>
      <c r="M16" s="27">
        <f t="shared" si="1"/>
        <v>0</v>
      </c>
      <c r="N16" s="15"/>
      <c r="O16" s="31" t="s">
        <v>238</v>
      </c>
    </row>
    <row r="17" spans="1:17">
      <c r="A17" s="19" t="s">
        <v>43</v>
      </c>
      <c r="B17" s="19" t="s">
        <v>58</v>
      </c>
      <c r="C17" s="24" t="s">
        <v>59</v>
      </c>
      <c r="D17" s="34"/>
      <c r="E17" s="26">
        <v>14100</v>
      </c>
      <c r="F17" s="26">
        <v>525</v>
      </c>
      <c r="G17" s="27">
        <f>FEBRUARY!M17</f>
        <v>0</v>
      </c>
      <c r="H17" s="27">
        <f t="shared" si="0"/>
        <v>14625</v>
      </c>
      <c r="I17" s="26"/>
      <c r="J17" s="93"/>
      <c r="K17" s="93"/>
      <c r="L17" s="29" t="s">
        <v>305</v>
      </c>
      <c r="M17" s="27">
        <f t="shared" si="1"/>
        <v>14625</v>
      </c>
      <c r="N17" s="30" t="s">
        <v>350</v>
      </c>
      <c r="O17" s="31"/>
    </row>
    <row r="18" spans="1:17">
      <c r="A18" s="19" t="s">
        <v>44</v>
      </c>
      <c r="B18" s="19" t="s">
        <v>60</v>
      </c>
      <c r="C18" s="24" t="s">
        <v>61</v>
      </c>
      <c r="D18" s="34"/>
      <c r="E18" s="26">
        <v>10100</v>
      </c>
      <c r="F18" s="26">
        <v>764.99999999999909</v>
      </c>
      <c r="G18" s="27">
        <f>FEBRUARY!M18</f>
        <v>0</v>
      </c>
      <c r="H18" s="27">
        <f t="shared" si="0"/>
        <v>10865</v>
      </c>
      <c r="I18" s="26">
        <f>10765</f>
        <v>10765</v>
      </c>
      <c r="J18" s="93" t="s">
        <v>353</v>
      </c>
      <c r="K18" s="93" t="s">
        <v>336</v>
      </c>
      <c r="L18" s="29" t="s">
        <v>305</v>
      </c>
      <c r="M18" s="27">
        <f t="shared" si="1"/>
        <v>100</v>
      </c>
      <c r="N18" s="45"/>
      <c r="O18" s="31" t="s">
        <v>238</v>
      </c>
    </row>
    <row r="19" spans="1:17">
      <c r="A19" s="32" t="s">
        <v>62</v>
      </c>
      <c r="B19" s="32" t="s">
        <v>63</v>
      </c>
      <c r="C19" s="46" t="s">
        <v>64</v>
      </c>
      <c r="D19" s="33"/>
      <c r="E19" s="26">
        <v>10100</v>
      </c>
      <c r="F19" s="26">
        <v>165.00000000000023</v>
      </c>
      <c r="G19" s="27">
        <f>FEBRUARY!M19</f>
        <v>0</v>
      </c>
      <c r="H19" s="27">
        <f t="shared" si="0"/>
        <v>10265</v>
      </c>
      <c r="I19" s="47">
        <v>10265</v>
      </c>
      <c r="J19" s="93" t="s">
        <v>307</v>
      </c>
      <c r="K19" s="93" t="s">
        <v>308</v>
      </c>
      <c r="L19" s="29" t="s">
        <v>305</v>
      </c>
      <c r="M19" s="27">
        <f t="shared" si="1"/>
        <v>0</v>
      </c>
      <c r="N19" s="15"/>
      <c r="O19" s="31"/>
    </row>
    <row r="20" spans="1:17">
      <c r="A20" s="19" t="s">
        <v>65</v>
      </c>
      <c r="B20" s="19" t="s">
        <v>66</v>
      </c>
      <c r="C20" s="24" t="s">
        <v>67</v>
      </c>
      <c r="D20" s="33"/>
      <c r="E20" s="26">
        <v>10100</v>
      </c>
      <c r="F20" s="26">
        <v>105.00000000000043</v>
      </c>
      <c r="G20" s="27">
        <f>FEBRUARY!M20</f>
        <v>0</v>
      </c>
      <c r="H20" s="27">
        <f t="shared" si="0"/>
        <v>10205</v>
      </c>
      <c r="I20" s="26">
        <f>10205</f>
        <v>10205</v>
      </c>
      <c r="J20" s="96" t="s">
        <v>319</v>
      </c>
      <c r="K20" s="96" t="s">
        <v>316</v>
      </c>
      <c r="L20" s="29" t="s">
        <v>305</v>
      </c>
      <c r="M20" s="27">
        <f t="shared" si="1"/>
        <v>0</v>
      </c>
      <c r="N20" s="30"/>
      <c r="O20" s="31" t="s">
        <v>238</v>
      </c>
    </row>
    <row r="21" spans="1:17">
      <c r="A21" s="19" t="s">
        <v>68</v>
      </c>
      <c r="B21" s="19" t="s">
        <v>302</v>
      </c>
      <c r="C21" s="24" t="s">
        <v>301</v>
      </c>
      <c r="D21" s="34"/>
      <c r="E21" s="26">
        <v>10100</v>
      </c>
      <c r="F21" s="26">
        <v>134.99999999999977</v>
      </c>
      <c r="G21" s="27">
        <f>FEBRUARY!M21</f>
        <v>0</v>
      </c>
      <c r="H21" s="27">
        <f t="shared" si="0"/>
        <v>10235</v>
      </c>
      <c r="I21" s="26">
        <f>10300</f>
        <v>10300</v>
      </c>
      <c r="J21" s="93" t="s">
        <v>338</v>
      </c>
      <c r="K21" s="93" t="s">
        <v>336</v>
      </c>
      <c r="L21" s="29" t="s">
        <v>305</v>
      </c>
      <c r="M21" s="27">
        <f t="shared" si="1"/>
        <v>-65</v>
      </c>
      <c r="N21" s="49"/>
      <c r="O21" s="31" t="s">
        <v>238</v>
      </c>
    </row>
    <row r="22" spans="1:17">
      <c r="A22" s="19" t="s">
        <v>71</v>
      </c>
      <c r="B22" s="19" t="s">
        <v>239</v>
      </c>
      <c r="C22" s="24" t="s">
        <v>310</v>
      </c>
      <c r="D22" s="34"/>
      <c r="E22" s="26">
        <v>10100</v>
      </c>
      <c r="F22" s="26">
        <v>614.99999999999909</v>
      </c>
      <c r="G22" s="27">
        <v>0</v>
      </c>
      <c r="H22" s="27">
        <f t="shared" si="0"/>
        <v>10715</v>
      </c>
      <c r="I22" s="26">
        <f>10715</f>
        <v>10715</v>
      </c>
      <c r="J22" s="93" t="s">
        <v>372</v>
      </c>
      <c r="K22" s="93" t="s">
        <v>359</v>
      </c>
      <c r="L22" s="29" t="s">
        <v>305</v>
      </c>
      <c r="M22" s="27">
        <f t="shared" si="1"/>
        <v>0</v>
      </c>
      <c r="N22" s="30"/>
      <c r="O22" s="31" t="s">
        <v>238</v>
      </c>
    </row>
    <row r="23" spans="1:17">
      <c r="A23" s="19" t="s">
        <v>74</v>
      </c>
      <c r="B23" s="32" t="s">
        <v>224</v>
      </c>
      <c r="C23" s="24" t="s">
        <v>225</v>
      </c>
      <c r="D23" s="34"/>
      <c r="E23" s="26">
        <v>10100</v>
      </c>
      <c r="F23" s="26">
        <v>915.00000000000023</v>
      </c>
      <c r="G23" s="27">
        <f>FEBRUARY!M23</f>
        <v>8125</v>
      </c>
      <c r="H23" s="27">
        <f t="shared" si="0"/>
        <v>19140</v>
      </c>
      <c r="I23" s="26">
        <f>14915</f>
        <v>14915</v>
      </c>
      <c r="J23" s="95" t="s">
        <v>318</v>
      </c>
      <c r="K23" s="95" t="s">
        <v>313</v>
      </c>
      <c r="L23" s="29" t="s">
        <v>305</v>
      </c>
      <c r="M23" s="27">
        <f t="shared" si="1"/>
        <v>4225</v>
      </c>
      <c r="N23" s="30" t="s">
        <v>296</v>
      </c>
      <c r="O23" s="77" t="s">
        <v>297</v>
      </c>
    </row>
    <row r="24" spans="1:17">
      <c r="A24" s="19" t="s">
        <v>77</v>
      </c>
      <c r="B24" s="19" t="s">
        <v>78</v>
      </c>
      <c r="C24" s="24" t="s">
        <v>299</v>
      </c>
      <c r="D24" s="34"/>
      <c r="E24" s="26">
        <v>10100</v>
      </c>
      <c r="F24" s="26">
        <v>135.00000000000085</v>
      </c>
      <c r="G24" s="27">
        <f>FEBRUARY!M24</f>
        <v>-105</v>
      </c>
      <c r="H24" s="27">
        <f t="shared" si="0"/>
        <v>10130</v>
      </c>
      <c r="I24" s="26">
        <f>10235</f>
        <v>10235</v>
      </c>
      <c r="J24" s="93" t="s">
        <v>326</v>
      </c>
      <c r="K24" s="93" t="s">
        <v>316</v>
      </c>
      <c r="L24" s="29" t="s">
        <v>305</v>
      </c>
      <c r="M24" s="27">
        <f t="shared" si="1"/>
        <v>-105</v>
      </c>
      <c r="N24" s="30"/>
      <c r="O24" s="31" t="s">
        <v>238</v>
      </c>
      <c r="P24" t="s">
        <v>22</v>
      </c>
      <c r="Q24">
        <f>I57/H57*100</f>
        <v>109.9519509568387</v>
      </c>
    </row>
    <row r="25" spans="1:17">
      <c r="A25" s="19" t="s">
        <v>80</v>
      </c>
      <c r="B25" s="19" t="s">
        <v>81</v>
      </c>
      <c r="C25" s="46" t="s">
        <v>82</v>
      </c>
      <c r="D25" s="33"/>
      <c r="E25" s="26">
        <v>10100</v>
      </c>
      <c r="F25" s="26">
        <v>525</v>
      </c>
      <c r="G25" s="27">
        <f>FEBRUARY!M25</f>
        <v>-126</v>
      </c>
      <c r="H25" s="27">
        <f t="shared" si="0"/>
        <v>10499</v>
      </c>
      <c r="I25" s="26">
        <f>10525</f>
        <v>10525</v>
      </c>
      <c r="J25" s="93" t="s">
        <v>345</v>
      </c>
      <c r="K25" s="93" t="s">
        <v>336</v>
      </c>
      <c r="L25" s="29" t="s">
        <v>305</v>
      </c>
      <c r="M25" s="27">
        <f t="shared" si="1"/>
        <v>-26</v>
      </c>
      <c r="N25" s="30"/>
      <c r="O25" s="31" t="s">
        <v>238</v>
      </c>
    </row>
    <row r="26" spans="1:17">
      <c r="A26" s="19" t="s">
        <v>83</v>
      </c>
      <c r="B26" s="19" t="s">
        <v>84</v>
      </c>
      <c r="C26" s="24" t="s">
        <v>85</v>
      </c>
      <c r="D26" s="33"/>
      <c r="E26" s="26">
        <v>10100</v>
      </c>
      <c r="F26" s="26">
        <v>164.99999999999915</v>
      </c>
      <c r="G26" s="27">
        <f>FEBRUARY!M26</f>
        <v>0</v>
      </c>
      <c r="H26" s="27">
        <f t="shared" si="0"/>
        <v>10265</v>
      </c>
      <c r="I26" s="26">
        <f>10265</f>
        <v>10265</v>
      </c>
      <c r="J26" s="93" t="s">
        <v>322</v>
      </c>
      <c r="K26" s="93" t="s">
        <v>316</v>
      </c>
      <c r="L26" s="29" t="s">
        <v>305</v>
      </c>
      <c r="M26" s="27">
        <f t="shared" si="1"/>
        <v>0</v>
      </c>
      <c r="N26" s="30"/>
      <c r="O26" s="31" t="s">
        <v>238</v>
      </c>
    </row>
    <row r="27" spans="1:17">
      <c r="A27" s="19" t="s">
        <v>86</v>
      </c>
      <c r="B27" s="19" t="s">
        <v>87</v>
      </c>
      <c r="C27" s="24" t="s">
        <v>88</v>
      </c>
      <c r="D27" s="33"/>
      <c r="E27" s="26">
        <v>10100</v>
      </c>
      <c r="F27" s="26">
        <v>420.00000000000171</v>
      </c>
      <c r="G27" s="27">
        <f>FEBRUARY!M27</f>
        <v>-680</v>
      </c>
      <c r="H27" s="27">
        <f t="shared" si="0"/>
        <v>9840.0000000000018</v>
      </c>
      <c r="I27" s="26">
        <f>10520</f>
        <v>10520</v>
      </c>
      <c r="J27" s="93" t="s">
        <v>309</v>
      </c>
      <c r="K27" s="93" t="s">
        <v>308</v>
      </c>
      <c r="L27" s="29" t="s">
        <v>305</v>
      </c>
      <c r="M27" s="27">
        <f t="shared" si="1"/>
        <v>-679.99999999999818</v>
      </c>
      <c r="N27" s="30"/>
      <c r="O27" s="31" t="s">
        <v>238</v>
      </c>
    </row>
    <row r="28" spans="1:17">
      <c r="A28" s="19" t="s">
        <v>89</v>
      </c>
      <c r="B28" s="19" t="s">
        <v>90</v>
      </c>
      <c r="C28" s="24" t="s">
        <v>91</v>
      </c>
      <c r="D28" s="33"/>
      <c r="E28" s="26">
        <v>10100</v>
      </c>
      <c r="F28" s="26">
        <v>150</v>
      </c>
      <c r="G28" s="27">
        <f>FEBRUARY!M28</f>
        <v>0</v>
      </c>
      <c r="H28" s="27">
        <f t="shared" si="0"/>
        <v>10250</v>
      </c>
      <c r="I28" s="26">
        <f>8900+1100+250</f>
        <v>10250</v>
      </c>
      <c r="J28" s="93" t="s">
        <v>360</v>
      </c>
      <c r="K28" s="93" t="s">
        <v>361</v>
      </c>
      <c r="L28" s="29" t="s">
        <v>305</v>
      </c>
      <c r="M28" s="27">
        <f t="shared" si="1"/>
        <v>0</v>
      </c>
      <c r="N28" s="30"/>
      <c r="O28" s="31"/>
      <c r="P28" t="s">
        <v>22</v>
      </c>
      <c r="Q28">
        <v>75.570748382370894</v>
      </c>
    </row>
    <row r="29" spans="1:17">
      <c r="A29" s="19" t="s">
        <v>92</v>
      </c>
      <c r="B29" s="19" t="s">
        <v>228</v>
      </c>
      <c r="C29" s="24"/>
      <c r="D29" s="33"/>
      <c r="E29" s="26"/>
      <c r="F29" s="26"/>
      <c r="G29" s="27">
        <f>FEBRUARY!M29</f>
        <v>0</v>
      </c>
      <c r="H29" s="27">
        <f t="shared" si="0"/>
        <v>0</v>
      </c>
      <c r="I29" s="26"/>
      <c r="J29" s="93"/>
      <c r="K29" s="93"/>
      <c r="L29" s="29" t="s">
        <v>305</v>
      </c>
      <c r="M29" s="27">
        <f t="shared" si="1"/>
        <v>0</v>
      </c>
      <c r="N29" s="30"/>
      <c r="O29" s="31"/>
    </row>
    <row r="30" spans="1:17">
      <c r="A30" s="19" t="s">
        <v>95</v>
      </c>
      <c r="B30" s="19" t="s">
        <v>93</v>
      </c>
      <c r="C30" s="24" t="s">
        <v>94</v>
      </c>
      <c r="D30" s="33"/>
      <c r="E30" s="26">
        <v>10100</v>
      </c>
      <c r="F30" s="26">
        <v>135.00000000000085</v>
      </c>
      <c r="G30" s="27">
        <f>FEBRUARY!M30</f>
        <v>0</v>
      </c>
      <c r="H30" s="27">
        <f t="shared" si="0"/>
        <v>10235</v>
      </c>
      <c r="I30" s="26">
        <f>6500+3735</f>
        <v>10235</v>
      </c>
      <c r="J30" s="95" t="s">
        <v>351</v>
      </c>
      <c r="K30" s="95" t="s">
        <v>367</v>
      </c>
      <c r="L30" s="29" t="s">
        <v>305</v>
      </c>
      <c r="M30" s="27">
        <f t="shared" si="1"/>
        <v>0</v>
      </c>
      <c r="N30" s="30" t="s">
        <v>254</v>
      </c>
      <c r="O30" s="31" t="s">
        <v>238</v>
      </c>
      <c r="P30" s="50" t="s">
        <v>23</v>
      </c>
    </row>
    <row r="31" spans="1:17">
      <c r="A31" s="19" t="s">
        <v>98</v>
      </c>
      <c r="B31" s="19" t="s">
        <v>96</v>
      </c>
      <c r="C31" s="24" t="s">
        <v>97</v>
      </c>
      <c r="D31" s="33"/>
      <c r="E31" s="26">
        <v>10100</v>
      </c>
      <c r="F31" s="26">
        <v>14.999999999999947</v>
      </c>
      <c r="G31" s="27">
        <f>FEBRUARY!M31</f>
        <v>-8</v>
      </c>
      <c r="H31" s="27">
        <f t="shared" si="0"/>
        <v>10107</v>
      </c>
      <c r="I31" s="26">
        <f>10115</f>
        <v>10115</v>
      </c>
      <c r="J31" s="93" t="s">
        <v>323</v>
      </c>
      <c r="K31" s="93" t="s">
        <v>316</v>
      </c>
      <c r="L31" s="29" t="s">
        <v>305</v>
      </c>
      <c r="M31" s="27">
        <f t="shared" si="1"/>
        <v>-8</v>
      </c>
      <c r="N31" s="30"/>
      <c r="O31" s="31"/>
    </row>
    <row r="32" spans="1:17">
      <c r="A32" s="19" t="s">
        <v>99</v>
      </c>
      <c r="B32" s="32" t="s">
        <v>192</v>
      </c>
      <c r="C32" s="36" t="s">
        <v>193</v>
      </c>
      <c r="D32" s="33"/>
      <c r="E32" s="26">
        <v>10100</v>
      </c>
      <c r="F32" s="26">
        <v>1245.0000000000018</v>
      </c>
      <c r="G32" s="27">
        <f>FEBRUARY!M32</f>
        <v>0</v>
      </c>
      <c r="H32" s="27">
        <f t="shared" si="0"/>
        <v>11345.000000000002</v>
      </c>
      <c r="I32" s="26">
        <f>10000+1345</f>
        <v>11345</v>
      </c>
      <c r="J32" s="96" t="s">
        <v>366</v>
      </c>
      <c r="K32" s="96" t="s">
        <v>352</v>
      </c>
      <c r="L32" s="29" t="s">
        <v>305</v>
      </c>
      <c r="M32" s="27">
        <f t="shared" si="1"/>
        <v>0</v>
      </c>
      <c r="N32" s="30" t="s">
        <v>281</v>
      </c>
      <c r="O32" s="31" t="s">
        <v>238</v>
      </c>
    </row>
    <row r="33" spans="1:15">
      <c r="A33" s="19" t="s">
        <v>102</v>
      </c>
      <c r="B33" s="19" t="s">
        <v>100</v>
      </c>
      <c r="C33" s="24" t="s">
        <v>101</v>
      </c>
      <c r="D33" s="33"/>
      <c r="E33" s="26">
        <v>10100</v>
      </c>
      <c r="F33" s="26">
        <v>105.00000000000043</v>
      </c>
      <c r="G33" s="27">
        <f>FEBRUARY!M33</f>
        <v>-170</v>
      </c>
      <c r="H33" s="27">
        <f t="shared" si="0"/>
        <v>10035</v>
      </c>
      <c r="I33" s="26">
        <f>10205</f>
        <v>10205</v>
      </c>
      <c r="J33" s="93" t="s">
        <v>321</v>
      </c>
      <c r="K33" s="93" t="s">
        <v>316</v>
      </c>
      <c r="L33" s="29" t="s">
        <v>305</v>
      </c>
      <c r="M33" s="27">
        <f t="shared" si="1"/>
        <v>-170</v>
      </c>
      <c r="N33" s="30"/>
      <c r="O33" s="31" t="s">
        <v>238</v>
      </c>
    </row>
    <row r="34" spans="1:15">
      <c r="A34" s="19" t="s">
        <v>105</v>
      </c>
      <c r="B34" s="19" t="s">
        <v>103</v>
      </c>
      <c r="C34" s="24" t="s">
        <v>104</v>
      </c>
      <c r="D34" s="33"/>
      <c r="E34" s="26">
        <v>10100</v>
      </c>
      <c r="F34" s="26">
        <v>194.99999999999957</v>
      </c>
      <c r="G34" s="27">
        <f>FEBRUARY!M34</f>
        <v>-20</v>
      </c>
      <c r="H34" s="27">
        <f t="shared" si="0"/>
        <v>10275</v>
      </c>
      <c r="I34" s="26">
        <f>10195</f>
        <v>10195</v>
      </c>
      <c r="J34" s="93" t="s">
        <v>356</v>
      </c>
      <c r="K34" s="93" t="s">
        <v>357</v>
      </c>
      <c r="L34" s="29" t="s">
        <v>305</v>
      </c>
      <c r="M34" s="27">
        <f t="shared" si="1"/>
        <v>80</v>
      </c>
      <c r="N34" s="30"/>
      <c r="O34" s="31"/>
    </row>
    <row r="35" spans="1:15">
      <c r="A35" s="19" t="s">
        <v>108</v>
      </c>
      <c r="B35" s="19" t="s">
        <v>106</v>
      </c>
      <c r="C35" s="24" t="s">
        <v>107</v>
      </c>
      <c r="D35" s="33"/>
      <c r="E35" s="26">
        <v>10100</v>
      </c>
      <c r="F35" s="26">
        <v>210.00000000000085</v>
      </c>
      <c r="G35" s="27">
        <f>FEBRUARY!M35</f>
        <v>-340</v>
      </c>
      <c r="H35" s="27">
        <f t="shared" si="0"/>
        <v>9970</v>
      </c>
      <c r="I35" s="26">
        <f>20400</f>
        <v>20400</v>
      </c>
      <c r="J35" s="93" t="s">
        <v>363</v>
      </c>
      <c r="K35" s="93" t="s">
        <v>362</v>
      </c>
      <c r="L35" s="29" t="s">
        <v>305</v>
      </c>
      <c r="M35" s="27">
        <f t="shared" si="1"/>
        <v>-10430</v>
      </c>
      <c r="N35" s="30" t="s">
        <v>349</v>
      </c>
      <c r="O35" s="31"/>
    </row>
    <row r="36" spans="1:15">
      <c r="A36" s="19" t="s">
        <v>111</v>
      </c>
      <c r="B36" s="19" t="s">
        <v>109</v>
      </c>
      <c r="C36" s="24" t="s">
        <v>110</v>
      </c>
      <c r="D36" s="33"/>
      <c r="E36" s="26">
        <v>10100</v>
      </c>
      <c r="F36" s="26">
        <v>45.000000000001705</v>
      </c>
      <c r="G36" s="27">
        <f>FEBRUARY!M36</f>
        <v>-20</v>
      </c>
      <c r="H36" s="27">
        <f t="shared" si="0"/>
        <v>10125.000000000002</v>
      </c>
      <c r="I36" s="26">
        <f>10145</f>
        <v>10145</v>
      </c>
      <c r="J36" s="93" t="s">
        <v>354</v>
      </c>
      <c r="K36" s="93" t="s">
        <v>334</v>
      </c>
      <c r="L36" s="29" t="s">
        <v>305</v>
      </c>
      <c r="M36" s="27">
        <f t="shared" si="1"/>
        <v>-19.999999999998181</v>
      </c>
      <c r="N36" s="30"/>
      <c r="O36" s="31"/>
    </row>
    <row r="37" spans="1:15">
      <c r="A37" s="19" t="s">
        <v>114</v>
      </c>
      <c r="B37" s="19" t="s">
        <v>112</v>
      </c>
      <c r="C37" s="24" t="s">
        <v>113</v>
      </c>
      <c r="D37" s="33"/>
      <c r="E37" s="26">
        <v>10100</v>
      </c>
      <c r="F37" s="26">
        <v>270.00000000000171</v>
      </c>
      <c r="G37" s="27">
        <f>FEBRUARY!M37</f>
        <v>-40</v>
      </c>
      <c r="H37" s="27">
        <f t="shared" si="0"/>
        <v>10330.000000000002</v>
      </c>
      <c r="I37" s="26">
        <f>10370</f>
        <v>10370</v>
      </c>
      <c r="J37" s="93" t="s">
        <v>355</v>
      </c>
      <c r="K37" s="93" t="s">
        <v>334</v>
      </c>
      <c r="L37" s="29" t="s">
        <v>305</v>
      </c>
      <c r="M37" s="27">
        <f t="shared" si="1"/>
        <v>-39.999999999998181</v>
      </c>
      <c r="N37" s="30"/>
      <c r="O37" s="31"/>
    </row>
    <row r="38" spans="1:15">
      <c r="A38" s="19" t="s">
        <v>117</v>
      </c>
      <c r="B38" s="19" t="s">
        <v>115</v>
      </c>
      <c r="C38" s="24" t="s">
        <v>116</v>
      </c>
      <c r="D38" s="33"/>
      <c r="E38" s="26">
        <v>10100</v>
      </c>
      <c r="F38" s="26">
        <v>510.00000000000085</v>
      </c>
      <c r="G38" s="27">
        <f>FEBRUARY!M38</f>
        <v>-10000</v>
      </c>
      <c r="H38" s="27">
        <f t="shared" si="0"/>
        <v>610.00000000000091</v>
      </c>
      <c r="I38" s="26">
        <f>610+10100</f>
        <v>10710</v>
      </c>
      <c r="J38" s="93" t="s">
        <v>370</v>
      </c>
      <c r="K38" s="93" t="s">
        <v>371</v>
      </c>
      <c r="L38" s="29" t="s">
        <v>305</v>
      </c>
      <c r="M38" s="27">
        <f t="shared" si="1"/>
        <v>-10100</v>
      </c>
      <c r="N38" s="30"/>
      <c r="O38" s="31"/>
    </row>
    <row r="39" spans="1:15">
      <c r="A39" s="19" t="s">
        <v>120</v>
      </c>
      <c r="B39" s="19" t="s">
        <v>118</v>
      </c>
      <c r="C39" s="24" t="s">
        <v>119</v>
      </c>
      <c r="D39" s="33"/>
      <c r="E39" s="26">
        <v>10100</v>
      </c>
      <c r="F39" s="26">
        <v>210.00000000000085</v>
      </c>
      <c r="G39" s="27">
        <f>FEBRUARY!M39</f>
        <v>0</v>
      </c>
      <c r="H39" s="27">
        <f t="shared" si="0"/>
        <v>10310</v>
      </c>
      <c r="I39" s="26">
        <f>10210</f>
        <v>10210</v>
      </c>
      <c r="J39" s="93" t="s">
        <v>333</v>
      </c>
      <c r="K39" s="93" t="s">
        <v>334</v>
      </c>
      <c r="L39" s="29" t="s">
        <v>305</v>
      </c>
      <c r="M39" s="27">
        <f t="shared" si="1"/>
        <v>100</v>
      </c>
      <c r="N39" s="30"/>
      <c r="O39" s="31" t="s">
        <v>238</v>
      </c>
    </row>
    <row r="40" spans="1:15">
      <c r="A40" s="19" t="s">
        <v>122</v>
      </c>
      <c r="B40" s="19" t="s">
        <v>174</v>
      </c>
      <c r="C40" s="24" t="s">
        <v>121</v>
      </c>
      <c r="D40" s="33"/>
      <c r="E40" s="26">
        <v>10100</v>
      </c>
      <c r="F40" s="26">
        <v>825</v>
      </c>
      <c r="G40" s="27">
        <f>FEBRUARY!M40</f>
        <v>0</v>
      </c>
      <c r="H40" s="27">
        <f t="shared" si="0"/>
        <v>10925</v>
      </c>
      <c r="I40" s="26">
        <f>10100+825</f>
        <v>10925</v>
      </c>
      <c r="J40" s="93" t="s">
        <v>341</v>
      </c>
      <c r="K40" s="93" t="s">
        <v>342</v>
      </c>
      <c r="L40" s="29" t="s">
        <v>305</v>
      </c>
      <c r="M40" s="27">
        <f t="shared" si="1"/>
        <v>0</v>
      </c>
      <c r="N40" s="30"/>
      <c r="O40" s="31" t="s">
        <v>238</v>
      </c>
    </row>
    <row r="41" spans="1:15">
      <c r="A41" s="19" t="s">
        <v>123</v>
      </c>
      <c r="B41" s="19" t="s">
        <v>183</v>
      </c>
      <c r="C41" s="24"/>
      <c r="D41" s="33"/>
      <c r="E41" s="26"/>
      <c r="F41" s="26"/>
      <c r="G41" s="27">
        <f>FEBRUARY!M41</f>
        <v>0</v>
      </c>
      <c r="H41" s="27">
        <f t="shared" si="0"/>
        <v>0</v>
      </c>
      <c r="I41" s="26"/>
      <c r="J41" s="93"/>
      <c r="K41" s="93"/>
      <c r="L41" s="29"/>
      <c r="M41" s="27">
        <f t="shared" si="1"/>
        <v>0</v>
      </c>
      <c r="N41" s="30"/>
      <c r="O41" s="31" t="s">
        <v>238</v>
      </c>
    </row>
    <row r="42" spans="1:15">
      <c r="A42" s="19" t="s">
        <v>126</v>
      </c>
      <c r="B42" s="19" t="s">
        <v>124</v>
      </c>
      <c r="C42" s="24" t="s">
        <v>125</v>
      </c>
      <c r="D42" s="33"/>
      <c r="E42" s="26">
        <v>10100</v>
      </c>
      <c r="F42" s="26">
        <v>300</v>
      </c>
      <c r="G42" s="27">
        <f>FEBRUARY!M42</f>
        <v>0</v>
      </c>
      <c r="H42" s="27">
        <f t="shared" si="0"/>
        <v>10400</v>
      </c>
      <c r="I42" s="26">
        <f>10702</f>
        <v>10702</v>
      </c>
      <c r="J42" s="93" t="s">
        <v>346</v>
      </c>
      <c r="K42" s="93" t="s">
        <v>316</v>
      </c>
      <c r="L42" s="29" t="s">
        <v>305</v>
      </c>
      <c r="M42" s="27">
        <f t="shared" si="1"/>
        <v>-302</v>
      </c>
      <c r="N42" s="30"/>
      <c r="O42" s="31" t="s">
        <v>238</v>
      </c>
    </row>
    <row r="43" spans="1:15">
      <c r="A43" s="19" t="s">
        <v>127</v>
      </c>
      <c r="B43" s="19" t="s">
        <v>169</v>
      </c>
      <c r="C43" s="24" t="s">
        <v>170</v>
      </c>
      <c r="D43" s="33"/>
      <c r="E43" s="26">
        <v>10100</v>
      </c>
      <c r="F43" s="26">
        <v>135.00000000000085</v>
      </c>
      <c r="G43" s="27">
        <f>FEBRUARY!M43</f>
        <v>2700</v>
      </c>
      <c r="H43" s="27">
        <f t="shared" si="0"/>
        <v>12935</v>
      </c>
      <c r="I43" s="26">
        <f>135+12000</f>
        <v>12135</v>
      </c>
      <c r="J43" s="93" t="s">
        <v>331</v>
      </c>
      <c r="K43" s="93" t="s">
        <v>332</v>
      </c>
      <c r="L43" s="29" t="s">
        <v>305</v>
      </c>
      <c r="M43" s="27">
        <f t="shared" si="1"/>
        <v>800</v>
      </c>
      <c r="N43" s="30" t="s">
        <v>296</v>
      </c>
      <c r="O43" s="31" t="s">
        <v>238</v>
      </c>
    </row>
    <row r="44" spans="1:15">
      <c r="A44" s="19" t="s">
        <v>130</v>
      </c>
      <c r="B44" s="19" t="s">
        <v>128</v>
      </c>
      <c r="C44" s="24" t="s">
        <v>129</v>
      </c>
      <c r="D44" s="33"/>
      <c r="E44" s="26">
        <v>10100</v>
      </c>
      <c r="F44" s="26">
        <v>525</v>
      </c>
      <c r="G44" s="27">
        <f>FEBRUARY!M44</f>
        <v>-1211</v>
      </c>
      <c r="H44" s="27">
        <f t="shared" si="0"/>
        <v>9414</v>
      </c>
      <c r="I44" s="26">
        <f>10205+4000</f>
        <v>14205</v>
      </c>
      <c r="J44" s="93" t="s">
        <v>368</v>
      </c>
      <c r="K44" s="93" t="s">
        <v>369</v>
      </c>
      <c r="L44" s="29" t="s">
        <v>305</v>
      </c>
      <c r="M44" s="27">
        <f t="shared" si="1"/>
        <v>-4791</v>
      </c>
      <c r="N44" s="30"/>
      <c r="O44" s="31" t="s">
        <v>238</v>
      </c>
    </row>
    <row r="45" spans="1:15">
      <c r="A45" s="19" t="s">
        <v>133</v>
      </c>
      <c r="B45" s="19" t="s">
        <v>300</v>
      </c>
      <c r="C45" s="24" t="s">
        <v>132</v>
      </c>
      <c r="D45" s="33"/>
      <c r="E45" s="26">
        <v>10100</v>
      </c>
      <c r="F45" s="26">
        <v>389.99999999999915</v>
      </c>
      <c r="G45" s="27">
        <f>FEBRUARY!M45</f>
        <v>0</v>
      </c>
      <c r="H45" s="27">
        <f t="shared" si="0"/>
        <v>10490</v>
      </c>
      <c r="I45" s="26">
        <f>10390</f>
        <v>10390</v>
      </c>
      <c r="J45" s="93" t="s">
        <v>329</v>
      </c>
      <c r="K45" s="93" t="s">
        <v>330</v>
      </c>
      <c r="L45" s="29" t="s">
        <v>305</v>
      </c>
      <c r="M45" s="27">
        <f t="shared" si="1"/>
        <v>100</v>
      </c>
      <c r="N45" s="30"/>
      <c r="O45" s="31" t="s">
        <v>238</v>
      </c>
    </row>
    <row r="46" spans="1:15">
      <c r="A46" s="19" t="s">
        <v>136</v>
      </c>
      <c r="B46" s="19" t="s">
        <v>134</v>
      </c>
      <c r="C46" s="24" t="s">
        <v>135</v>
      </c>
      <c r="D46" s="33"/>
      <c r="E46" s="26">
        <v>10100</v>
      </c>
      <c r="F46" s="26">
        <v>704.99999999999829</v>
      </c>
      <c r="G46" s="27">
        <f>FEBRUARY!M46</f>
        <v>-111</v>
      </c>
      <c r="H46" s="27">
        <f t="shared" si="0"/>
        <v>10693.999999999998</v>
      </c>
      <c r="I46" s="26">
        <f>10805</f>
        <v>10805</v>
      </c>
      <c r="J46" s="93" t="s">
        <v>325</v>
      </c>
      <c r="K46" s="93" t="s">
        <v>316</v>
      </c>
      <c r="L46" s="29" t="s">
        <v>305</v>
      </c>
      <c r="M46" s="27">
        <f t="shared" si="1"/>
        <v>-111.00000000000182</v>
      </c>
      <c r="N46" s="30"/>
      <c r="O46" s="31" t="s">
        <v>238</v>
      </c>
    </row>
    <row r="47" spans="1:15">
      <c r="A47" s="19" t="s">
        <v>139</v>
      </c>
      <c r="B47" s="19" t="s">
        <v>137</v>
      </c>
      <c r="C47" s="24" t="s">
        <v>138</v>
      </c>
      <c r="D47" s="33"/>
      <c r="E47" s="26">
        <v>10100</v>
      </c>
      <c r="F47" s="26">
        <v>0</v>
      </c>
      <c r="G47" s="27">
        <f>FEBRUARY!M47</f>
        <v>0</v>
      </c>
      <c r="H47" s="27">
        <f t="shared" si="0"/>
        <v>10100</v>
      </c>
      <c r="I47" s="26">
        <f>10100</f>
        <v>10100</v>
      </c>
      <c r="J47" s="93" t="s">
        <v>315</v>
      </c>
      <c r="K47" s="93" t="s">
        <v>316</v>
      </c>
      <c r="L47" s="29" t="s">
        <v>305</v>
      </c>
      <c r="M47" s="27">
        <f t="shared" si="1"/>
        <v>0</v>
      </c>
      <c r="N47" s="30"/>
      <c r="O47" s="31"/>
    </row>
    <row r="48" spans="1:15">
      <c r="A48" s="19" t="s">
        <v>142</v>
      </c>
      <c r="B48" s="19" t="s">
        <v>140</v>
      </c>
      <c r="C48" s="24" t="s">
        <v>293</v>
      </c>
      <c r="D48" s="33"/>
      <c r="E48" s="26">
        <v>10100</v>
      </c>
      <c r="F48" s="26">
        <v>89.999999999999147</v>
      </c>
      <c r="G48" s="27">
        <f>FEBRUARY!M48</f>
        <v>0</v>
      </c>
      <c r="H48" s="27">
        <f t="shared" si="0"/>
        <v>10190</v>
      </c>
      <c r="I48" s="26">
        <f>10190</f>
        <v>10190</v>
      </c>
      <c r="J48" s="93" t="s">
        <v>347</v>
      </c>
      <c r="K48" s="93" t="s">
        <v>330</v>
      </c>
      <c r="L48" s="29" t="s">
        <v>305</v>
      </c>
      <c r="M48" s="27">
        <f t="shared" si="1"/>
        <v>0</v>
      </c>
      <c r="N48" s="30"/>
      <c r="O48" s="31" t="s">
        <v>238</v>
      </c>
    </row>
    <row r="49" spans="1:19">
      <c r="A49" s="19" t="s">
        <v>145</v>
      </c>
      <c r="B49" s="19" t="s">
        <v>143</v>
      </c>
      <c r="C49" s="24" t="s">
        <v>144</v>
      </c>
      <c r="D49" s="33"/>
      <c r="E49" s="26">
        <v>10100</v>
      </c>
      <c r="F49" s="26">
        <v>435.00000000000085</v>
      </c>
      <c r="G49" s="27">
        <f>FEBRUARY!M49</f>
        <v>-125</v>
      </c>
      <c r="H49" s="27">
        <f t="shared" si="0"/>
        <v>10410</v>
      </c>
      <c r="I49" s="26">
        <f>10535</f>
        <v>10535</v>
      </c>
      <c r="J49" s="93" t="s">
        <v>320</v>
      </c>
      <c r="K49" s="93" t="s">
        <v>316</v>
      </c>
      <c r="L49" s="29" t="s">
        <v>305</v>
      </c>
      <c r="M49" s="27">
        <f t="shared" si="1"/>
        <v>-125</v>
      </c>
      <c r="N49" s="30"/>
      <c r="O49" s="31"/>
    </row>
    <row r="50" spans="1:19">
      <c r="A50" s="19" t="s">
        <v>148</v>
      </c>
      <c r="B50" s="19" t="s">
        <v>146</v>
      </c>
      <c r="C50" s="24" t="s">
        <v>147</v>
      </c>
      <c r="D50" s="33"/>
      <c r="E50" s="26">
        <v>10100</v>
      </c>
      <c r="F50" s="26">
        <v>300</v>
      </c>
      <c r="G50" s="27">
        <f>FEBRUARY!M50</f>
        <v>0</v>
      </c>
      <c r="H50" s="27">
        <f t="shared" si="0"/>
        <v>10400</v>
      </c>
      <c r="I50" s="26">
        <f>10400</f>
        <v>10400</v>
      </c>
      <c r="J50" s="93" t="s">
        <v>339</v>
      </c>
      <c r="K50" s="93" t="s">
        <v>337</v>
      </c>
      <c r="L50" s="29" t="s">
        <v>305</v>
      </c>
      <c r="M50" s="27">
        <f t="shared" si="1"/>
        <v>0</v>
      </c>
      <c r="N50" s="30"/>
      <c r="O50" s="31"/>
    </row>
    <row r="51" spans="1:19">
      <c r="A51" s="19" t="s">
        <v>156</v>
      </c>
      <c r="B51" s="19" t="s">
        <v>159</v>
      </c>
      <c r="C51" s="24" t="s">
        <v>285</v>
      </c>
      <c r="D51" s="33"/>
      <c r="E51" s="26">
        <v>10100</v>
      </c>
      <c r="F51" s="26">
        <v>104.99999999999829</v>
      </c>
      <c r="G51" s="27">
        <f>FEBRUARY!M51</f>
        <v>-40</v>
      </c>
      <c r="H51" s="27">
        <f t="shared" si="0"/>
        <v>10164.999999999998</v>
      </c>
      <c r="I51" s="26">
        <f>10205</f>
        <v>10205</v>
      </c>
      <c r="J51" s="93" t="s">
        <v>314</v>
      </c>
      <c r="K51" s="93" t="s">
        <v>313</v>
      </c>
      <c r="L51" s="29" t="s">
        <v>305</v>
      </c>
      <c r="M51" s="27">
        <f t="shared" si="1"/>
        <v>-40.000000000001819</v>
      </c>
      <c r="N51" s="30"/>
      <c r="O51" s="31" t="s">
        <v>238</v>
      </c>
    </row>
    <row r="52" spans="1:19">
      <c r="A52" s="19" t="s">
        <v>157</v>
      </c>
      <c r="B52" s="19" t="s">
        <v>149</v>
      </c>
      <c r="C52" s="24" t="s">
        <v>150</v>
      </c>
      <c r="D52" s="33"/>
      <c r="E52" s="26">
        <v>10100</v>
      </c>
      <c r="F52" s="26">
        <v>0</v>
      </c>
      <c r="G52" s="27">
        <f>FEBRUARY!M52</f>
        <v>0</v>
      </c>
      <c r="H52" s="27">
        <f t="shared" si="0"/>
        <v>10100</v>
      </c>
      <c r="I52" s="26">
        <f>10000</f>
        <v>10000</v>
      </c>
      <c r="J52" s="93" t="s">
        <v>358</v>
      </c>
      <c r="K52" s="93" t="s">
        <v>357</v>
      </c>
      <c r="L52" s="29" t="s">
        <v>305</v>
      </c>
      <c r="M52" s="27">
        <f t="shared" si="1"/>
        <v>100</v>
      </c>
      <c r="N52" s="30"/>
      <c r="O52" s="31"/>
    </row>
    <row r="53" spans="1:19">
      <c r="A53" s="19" t="s">
        <v>158</v>
      </c>
      <c r="B53" s="79" t="s">
        <v>160</v>
      </c>
      <c r="C53" s="88" t="s">
        <v>311</v>
      </c>
      <c r="D53" s="33"/>
      <c r="E53" s="26">
        <v>10100</v>
      </c>
      <c r="F53" s="26">
        <v>285.00000000000085</v>
      </c>
      <c r="G53" s="27">
        <f>FEBRUARY!M53</f>
        <v>-230</v>
      </c>
      <c r="H53" s="27">
        <f t="shared" si="0"/>
        <v>10155</v>
      </c>
      <c r="I53" s="26">
        <f>10385</f>
        <v>10385</v>
      </c>
      <c r="J53" s="93" t="s">
        <v>312</v>
      </c>
      <c r="K53" s="93" t="s">
        <v>313</v>
      </c>
      <c r="L53" s="29" t="s">
        <v>305</v>
      </c>
      <c r="M53" s="27">
        <f t="shared" si="1"/>
        <v>-230</v>
      </c>
      <c r="N53" s="30"/>
      <c r="O53" s="31"/>
    </row>
    <row r="54" spans="1:19">
      <c r="A54" s="19" t="s">
        <v>151</v>
      </c>
      <c r="B54" s="19" t="s">
        <v>152</v>
      </c>
      <c r="C54" s="24" t="s">
        <v>153</v>
      </c>
      <c r="D54" s="33"/>
      <c r="E54" s="26">
        <v>10100</v>
      </c>
      <c r="F54" s="26">
        <v>285.00000000000085</v>
      </c>
      <c r="G54" s="27">
        <f>FEBRUARY!M54</f>
        <v>-80</v>
      </c>
      <c r="H54" s="27">
        <f t="shared" si="0"/>
        <v>10305</v>
      </c>
      <c r="I54" s="26">
        <f>10385</f>
        <v>10385</v>
      </c>
      <c r="J54" s="93" t="s">
        <v>327</v>
      </c>
      <c r="K54" s="93" t="s">
        <v>316</v>
      </c>
      <c r="L54" s="29" t="s">
        <v>305</v>
      </c>
      <c r="M54" s="27">
        <f t="shared" si="1"/>
        <v>-80</v>
      </c>
      <c r="N54" s="30"/>
      <c r="O54" s="31" t="s">
        <v>238</v>
      </c>
    </row>
    <row r="55" spans="1:19">
      <c r="A55" s="19" t="s">
        <v>161</v>
      </c>
      <c r="B55" s="19" t="s">
        <v>154</v>
      </c>
      <c r="C55" s="24" t="s">
        <v>155</v>
      </c>
      <c r="D55" s="33"/>
      <c r="E55" s="26">
        <v>10100</v>
      </c>
      <c r="F55" s="26">
        <v>150</v>
      </c>
      <c r="G55" s="27">
        <f>FEBRUARY!M55</f>
        <v>-250</v>
      </c>
      <c r="H55" s="27">
        <f t="shared" si="0"/>
        <v>10000</v>
      </c>
      <c r="I55" s="26">
        <f>10000</f>
        <v>10000</v>
      </c>
      <c r="J55" s="93" t="s">
        <v>343</v>
      </c>
      <c r="K55" s="93" t="s">
        <v>306</v>
      </c>
      <c r="L55" s="29" t="s">
        <v>305</v>
      </c>
      <c r="M55" s="27">
        <f t="shared" si="1"/>
        <v>0</v>
      </c>
      <c r="N55" s="30"/>
      <c r="O55" s="31" t="s">
        <v>238</v>
      </c>
    </row>
    <row r="56" spans="1:19">
      <c r="A56" s="19" t="s">
        <v>162</v>
      </c>
      <c r="B56" s="19" t="s">
        <v>273</v>
      </c>
      <c r="C56" s="24" t="s">
        <v>272</v>
      </c>
      <c r="D56" s="33"/>
      <c r="E56" s="26">
        <v>9600</v>
      </c>
      <c r="F56" s="26">
        <v>314.99999999999915</v>
      </c>
      <c r="G56" s="27">
        <f>FEBRUARY!M56</f>
        <v>-100</v>
      </c>
      <c r="H56" s="27">
        <f t="shared" si="0"/>
        <v>9815</v>
      </c>
      <c r="I56" s="26">
        <f>9600+315+10000</f>
        <v>19915</v>
      </c>
      <c r="J56" s="93" t="s">
        <v>373</v>
      </c>
      <c r="K56" s="93" t="s">
        <v>374</v>
      </c>
      <c r="L56" s="29" t="s">
        <v>305</v>
      </c>
      <c r="M56" s="27">
        <f t="shared" si="1"/>
        <v>-10100</v>
      </c>
      <c r="N56" s="30"/>
      <c r="O56" s="31" t="s">
        <v>238</v>
      </c>
    </row>
    <row r="57" spans="1:19">
      <c r="A57" s="52" t="s">
        <v>25</v>
      </c>
      <c r="B57" s="19"/>
      <c r="C57" s="53"/>
      <c r="D57" s="54"/>
      <c r="E57" s="54">
        <f>SUM(E9:E56)</f>
        <v>470100</v>
      </c>
      <c r="F57" s="54">
        <f>SUM(,F9:F56)</f>
        <v>16035.000000000005</v>
      </c>
      <c r="G57" s="54">
        <f>SUM(G9:G56)</f>
        <v>-3295</v>
      </c>
      <c r="H57" s="54">
        <f>SUM(H9:H56)</f>
        <v>482840</v>
      </c>
      <c r="I57" s="54">
        <f>SUM(I9:I56)</f>
        <v>530892</v>
      </c>
      <c r="J57" s="54"/>
      <c r="K57" s="54"/>
      <c r="L57" s="54"/>
      <c r="M57" s="54">
        <f>SUM(M9:M56)</f>
        <v>-48052</v>
      </c>
      <c r="N57" s="55"/>
      <c r="O57" s="55"/>
      <c r="S57" s="51"/>
    </row>
    <row r="58" spans="1:19">
      <c r="A58" s="12"/>
      <c r="B58" s="19"/>
      <c r="C58" s="53"/>
      <c r="D58" s="56"/>
      <c r="E58" s="57"/>
      <c r="F58" s="57"/>
      <c r="G58" s="58"/>
      <c r="H58" s="57"/>
      <c r="I58" s="57"/>
      <c r="J58" s="12"/>
      <c r="K58" s="12"/>
      <c r="L58" s="12"/>
      <c r="M58" s="57"/>
      <c r="N58" s="57"/>
      <c r="O58" s="57"/>
    </row>
    <row r="59" spans="1:19">
      <c r="A59" s="59" t="s">
        <v>26</v>
      </c>
      <c r="B59" s="19"/>
      <c r="C59" s="53"/>
      <c r="D59" s="56"/>
      <c r="E59" s="57"/>
      <c r="F59" s="57"/>
      <c r="G59" s="58"/>
      <c r="H59" s="57"/>
      <c r="I59" s="57"/>
      <c r="J59" s="12"/>
      <c r="K59" s="12"/>
      <c r="L59" s="12"/>
      <c r="M59" s="57"/>
      <c r="N59" s="57"/>
      <c r="O59" s="57"/>
    </row>
    <row r="60" spans="1:19">
      <c r="A60" s="19" t="s">
        <v>27</v>
      </c>
      <c r="B60" s="19"/>
      <c r="C60" s="53"/>
      <c r="D60" s="19"/>
      <c r="E60" s="19"/>
      <c r="F60" s="19"/>
      <c r="G60" s="20"/>
      <c r="H60" s="19"/>
      <c r="I60" s="60">
        <f>6%*I57</f>
        <v>31853.52</v>
      </c>
      <c r="J60" s="19"/>
      <c r="K60" s="19"/>
      <c r="L60" s="19"/>
      <c r="M60" s="19"/>
      <c r="N60" s="15"/>
      <c r="O60" s="19"/>
    </row>
    <row r="61" spans="1:19">
      <c r="A61" s="19" t="s">
        <v>375</v>
      </c>
      <c r="B61" s="19"/>
      <c r="C61" s="53"/>
      <c r="D61" s="19"/>
      <c r="E61" s="19"/>
      <c r="F61" s="19"/>
      <c r="G61" s="20"/>
      <c r="H61" s="19"/>
      <c r="I61" s="60">
        <f>1000</f>
        <v>1000</v>
      </c>
      <c r="J61" s="19"/>
      <c r="K61" s="19"/>
      <c r="L61" s="19"/>
      <c r="M61" s="19"/>
      <c r="N61" s="15"/>
      <c r="O61" s="19"/>
    </row>
    <row r="62" spans="1:19" ht="16.5">
      <c r="A62" s="15" t="s">
        <v>28</v>
      </c>
      <c r="B62" s="15"/>
      <c r="C62" s="15"/>
      <c r="D62" s="15"/>
      <c r="E62" s="15"/>
      <c r="F62" s="15"/>
      <c r="G62" s="61"/>
      <c r="H62" s="15"/>
      <c r="I62" s="62">
        <f>SUM(I60:I61)</f>
        <v>32853.520000000004</v>
      </c>
      <c r="J62" s="15"/>
      <c r="K62" s="15"/>
      <c r="L62" s="19"/>
      <c r="M62" s="15"/>
      <c r="N62" s="15"/>
      <c r="O62" s="15"/>
    </row>
    <row r="63" spans="1:19">
      <c r="A63" s="15"/>
      <c r="B63" s="15"/>
      <c r="C63" s="15"/>
      <c r="D63" s="15"/>
      <c r="E63" s="15"/>
      <c r="F63" s="15"/>
      <c r="G63" s="61"/>
      <c r="H63" s="15"/>
      <c r="I63" s="63"/>
      <c r="J63" s="15"/>
      <c r="K63" s="15"/>
      <c r="L63" s="15"/>
      <c r="M63" s="15"/>
      <c r="N63" s="15"/>
      <c r="O63" s="15"/>
    </row>
    <row r="64" spans="1:19">
      <c r="A64" s="2" t="s">
        <v>29</v>
      </c>
      <c r="B64" s="2"/>
      <c r="C64" s="2"/>
      <c r="D64" s="2"/>
      <c r="E64" s="2"/>
      <c r="F64" s="2"/>
      <c r="G64" s="64"/>
      <c r="H64" s="2"/>
      <c r="I64" s="47"/>
      <c r="J64" s="65" t="s">
        <v>30</v>
      </c>
      <c r="K64" s="65"/>
      <c r="L64" s="65" t="s">
        <v>30</v>
      </c>
      <c r="M64" s="66" t="s">
        <v>31</v>
      </c>
    </row>
    <row r="65" spans="1:15" ht="15.75" thickBot="1">
      <c r="A65" s="1" t="s">
        <v>32</v>
      </c>
      <c r="B65" s="1"/>
      <c r="C65" s="1"/>
      <c r="D65" s="1"/>
      <c r="E65" s="1"/>
      <c r="F65" s="1"/>
      <c r="G65" s="67"/>
      <c r="H65" s="68"/>
      <c r="I65" s="69">
        <f>I62</f>
        <v>32853.520000000004</v>
      </c>
      <c r="J65" s="70"/>
      <c r="K65" s="70"/>
      <c r="L65" s="71"/>
      <c r="M65" s="72">
        <f>I65-J65-L65</f>
        <v>32853.520000000004</v>
      </c>
    </row>
    <row r="66" spans="1:15" ht="15.75" thickTop="1">
      <c r="A66" s="1"/>
      <c r="B66" s="2"/>
      <c r="C66" s="2"/>
      <c r="D66" s="68"/>
      <c r="E66" s="68"/>
      <c r="F66" s="68"/>
      <c r="G66" s="70"/>
      <c r="H66" s="2"/>
      <c r="I66" s="73"/>
      <c r="J66" s="19"/>
      <c r="K66" s="19"/>
      <c r="L66" s="2"/>
      <c r="M66" s="19"/>
      <c r="N66" s="2"/>
      <c r="O66" s="68"/>
    </row>
    <row r="67" spans="1:15">
      <c r="A67" s="2" t="s">
        <v>33</v>
      </c>
      <c r="B67" s="2"/>
      <c r="C67" s="2"/>
      <c r="D67" s="2"/>
      <c r="E67" s="2"/>
      <c r="F67" s="2"/>
      <c r="G67" s="64"/>
      <c r="H67" s="2"/>
      <c r="I67" s="27"/>
      <c r="J67" s="19"/>
      <c r="K67" s="19"/>
      <c r="L67" s="2"/>
      <c r="M67" s="74">
        <v>46053</v>
      </c>
      <c r="N67" s="75"/>
      <c r="O67" s="76"/>
    </row>
    <row r="68" spans="1:15">
      <c r="A68" s="44"/>
      <c r="B68" s="44"/>
      <c r="C68" s="44"/>
      <c r="D68" s="44"/>
      <c r="E68" s="44"/>
      <c r="F68" s="44"/>
      <c r="G68" s="44"/>
      <c r="H68" s="44"/>
      <c r="L68" s="44"/>
      <c r="N68" s="44"/>
      <c r="O68" s="44"/>
    </row>
    <row r="69" spans="1:15" s="44" customFormat="1">
      <c r="I69"/>
      <c r="J69"/>
      <c r="K69"/>
      <c r="M69"/>
    </row>
    <row r="70" spans="1:15">
      <c r="A70" s="44"/>
      <c r="B70" s="44"/>
      <c r="C70" s="44"/>
      <c r="D70" s="44"/>
      <c r="E70" s="44"/>
      <c r="F70" s="44"/>
      <c r="G70" s="44"/>
      <c r="H70" s="44"/>
      <c r="L70" s="44"/>
      <c r="N70" s="44"/>
      <c r="O70" s="44"/>
    </row>
    <row r="71" spans="1:15">
      <c r="E71">
        <f>I57/H57*100</f>
        <v>109.9519509568387</v>
      </c>
    </row>
  </sheetData>
  <mergeCells count="1">
    <mergeCell ref="A3:M3"/>
  </mergeCells>
  <pageMargins left="0.7" right="0.7" top="0.75" bottom="0.75" header="0.3" footer="0.3"/>
  <pageSetup scale="22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4C36-E884-481E-B28F-4C668B487176}">
  <sheetPr>
    <pageSetUpPr fitToPage="1"/>
  </sheetPr>
  <dimension ref="A1:Q71"/>
  <sheetViews>
    <sheetView topLeftCell="A16" zoomScale="93" zoomScaleNormal="93" workbookViewId="0">
      <selection activeCell="A36" sqref="A36:XFD36"/>
    </sheetView>
  </sheetViews>
  <sheetFormatPr defaultColWidth="9" defaultRowHeight="15"/>
  <cols>
    <col min="2" max="2" width="15.28515625" customWidth="1"/>
    <col min="3" max="3" width="11.140625" customWidth="1"/>
    <col min="5" max="6" width="9.7109375" customWidth="1"/>
    <col min="7" max="7" width="9.42578125" customWidth="1"/>
    <col min="8" max="8" width="10" customWidth="1"/>
    <col min="9" max="9" width="11.28515625" customWidth="1"/>
    <col min="10" max="10" width="26.140625" customWidth="1"/>
    <col min="11" max="11" width="23.7109375" customWidth="1"/>
    <col min="12" max="12" width="8.28515625" customWidth="1"/>
    <col min="13" max="13" width="13.7109375" customWidth="1"/>
    <col min="14" max="14" width="49.5703125" customWidth="1"/>
    <col min="15" max="15" width="12.7109375" customWidth="1"/>
    <col min="16" max="18" width="0" hidden="1" customWidth="1"/>
  </cols>
  <sheetData>
    <row r="1" spans="1:15">
      <c r="A1" s="1"/>
      <c r="B1" s="2"/>
      <c r="C1" s="3" t="s">
        <v>0</v>
      </c>
      <c r="D1" s="4"/>
      <c r="E1" s="2"/>
      <c r="F1" s="2"/>
      <c r="G1" s="5"/>
      <c r="H1" s="6"/>
      <c r="I1" s="7"/>
      <c r="J1" s="8"/>
      <c r="K1" s="8"/>
      <c r="L1" s="9"/>
      <c r="M1" s="10"/>
      <c r="N1" s="11"/>
      <c r="O1" s="11"/>
    </row>
    <row r="2" spans="1:15">
      <c r="A2" s="1" t="s">
        <v>1</v>
      </c>
      <c r="B2" s="1"/>
      <c r="C2" s="1"/>
      <c r="D2" s="1"/>
      <c r="E2" s="6"/>
      <c r="F2" s="6"/>
      <c r="G2" s="5"/>
      <c r="H2" s="6"/>
      <c r="I2" s="7"/>
      <c r="J2" s="8"/>
      <c r="K2" s="8"/>
      <c r="L2" s="9"/>
      <c r="M2" s="10"/>
      <c r="N2" s="11"/>
      <c r="O2" s="11"/>
    </row>
    <row r="3" spans="1:15">
      <c r="A3" s="104" t="s">
        <v>379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"/>
      <c r="O3" s="1"/>
    </row>
    <row r="4" spans="1:15">
      <c r="A4" s="12"/>
      <c r="B4" s="12"/>
      <c r="C4" s="12"/>
      <c r="D4" s="7"/>
      <c r="E4" s="7"/>
      <c r="F4" s="7"/>
      <c r="G4" s="13"/>
      <c r="H4" s="7"/>
      <c r="I4" s="7"/>
      <c r="J4" s="8" t="s">
        <v>3</v>
      </c>
      <c r="K4" s="8"/>
      <c r="L4" s="8"/>
      <c r="M4" s="14"/>
      <c r="N4" s="14"/>
      <c r="O4" s="14"/>
    </row>
    <row r="5" spans="1:15">
      <c r="A5" s="15" t="s">
        <v>34</v>
      </c>
      <c r="B5" s="15"/>
      <c r="C5" s="15"/>
      <c r="D5" s="14"/>
      <c r="E5" s="14"/>
      <c r="F5" s="14"/>
      <c r="G5" s="16"/>
      <c r="H5" s="14"/>
      <c r="I5" s="14"/>
      <c r="J5" s="17" t="s">
        <v>4</v>
      </c>
      <c r="K5" s="17"/>
      <c r="L5" s="17"/>
      <c r="M5" s="14"/>
      <c r="N5" s="14"/>
      <c r="O5" s="14"/>
    </row>
    <row r="6" spans="1:15">
      <c r="A6" s="15" t="s">
        <v>5</v>
      </c>
      <c r="B6" s="18"/>
      <c r="C6" s="15"/>
      <c r="D6" s="19"/>
      <c r="E6" s="19"/>
      <c r="F6" s="19"/>
      <c r="G6" s="20"/>
      <c r="H6" s="19"/>
      <c r="I6" s="14" t="s">
        <v>6</v>
      </c>
      <c r="J6" s="17" t="s">
        <v>197</v>
      </c>
      <c r="K6" s="17"/>
      <c r="L6" s="17"/>
      <c r="M6" s="14"/>
      <c r="N6" s="14"/>
      <c r="O6" s="14"/>
    </row>
    <row r="7" spans="1:15">
      <c r="A7" s="15"/>
      <c r="B7" s="15"/>
      <c r="C7" s="15"/>
      <c r="D7" s="19"/>
      <c r="E7" s="19"/>
      <c r="F7" s="19"/>
      <c r="G7" s="20"/>
      <c r="H7" s="19"/>
      <c r="I7" s="14" t="s">
        <v>7</v>
      </c>
      <c r="J7" s="78" t="s">
        <v>198</v>
      </c>
      <c r="K7" s="78"/>
      <c r="L7" s="17"/>
      <c r="M7" s="14"/>
      <c r="N7" s="14"/>
      <c r="O7" s="14"/>
    </row>
    <row r="8" spans="1:15" ht="24.75">
      <c r="A8" s="12" t="s">
        <v>8</v>
      </c>
      <c r="B8" s="12" t="s">
        <v>9</v>
      </c>
      <c r="C8" s="12" t="s">
        <v>10</v>
      </c>
      <c r="D8" s="21" t="s">
        <v>11</v>
      </c>
      <c r="E8" s="22" t="s">
        <v>12</v>
      </c>
      <c r="F8" s="22" t="s">
        <v>163</v>
      </c>
      <c r="G8" s="13" t="s">
        <v>13</v>
      </c>
      <c r="H8" s="23" t="s">
        <v>14</v>
      </c>
      <c r="I8" s="7" t="s">
        <v>15</v>
      </c>
      <c r="J8" s="12" t="s">
        <v>16</v>
      </c>
      <c r="K8" s="12" t="s">
        <v>207</v>
      </c>
      <c r="L8" s="12" t="s">
        <v>17</v>
      </c>
      <c r="M8" s="7" t="s">
        <v>18</v>
      </c>
      <c r="N8" s="7" t="s">
        <v>19</v>
      </c>
      <c r="O8" s="7" t="s">
        <v>20</v>
      </c>
    </row>
    <row r="9" spans="1:15">
      <c r="A9" s="19" t="s">
        <v>35</v>
      </c>
      <c r="B9" s="19" t="s">
        <v>45</v>
      </c>
      <c r="C9" s="24" t="s">
        <v>46</v>
      </c>
      <c r="D9" s="25"/>
      <c r="E9" s="26">
        <v>10100</v>
      </c>
      <c r="F9" s="26">
        <v>464.99999999999915</v>
      </c>
      <c r="G9" s="27">
        <f>MARCH!M9</f>
        <v>0</v>
      </c>
      <c r="H9" s="27">
        <f>D9+E9+G9+F9</f>
        <v>10565</v>
      </c>
      <c r="I9" s="26">
        <v>10565</v>
      </c>
      <c r="J9" s="93" t="s">
        <v>384</v>
      </c>
      <c r="K9" s="94">
        <v>46116</v>
      </c>
      <c r="L9" s="29" t="s">
        <v>378</v>
      </c>
      <c r="M9" s="27">
        <f>H9-I9</f>
        <v>0</v>
      </c>
      <c r="N9" s="30"/>
      <c r="O9" s="31"/>
    </row>
    <row r="10" spans="1:15">
      <c r="A10" s="32" t="s">
        <v>37</v>
      </c>
      <c r="B10" s="32" t="s">
        <v>47</v>
      </c>
      <c r="C10" s="24" t="s">
        <v>48</v>
      </c>
      <c r="D10" s="33"/>
      <c r="E10" s="26">
        <v>10100</v>
      </c>
      <c r="F10" s="26">
        <v>855.00000000000045</v>
      </c>
      <c r="G10" s="27">
        <f>MARCH!M10</f>
        <v>0</v>
      </c>
      <c r="H10" s="27">
        <f t="shared" ref="H10:H56" si="0">D10+E10+G10+F10</f>
        <v>10955</v>
      </c>
      <c r="I10" s="26">
        <v>10950</v>
      </c>
      <c r="J10" s="93" t="s">
        <v>399</v>
      </c>
      <c r="K10" s="93" t="s">
        <v>400</v>
      </c>
      <c r="L10" s="29" t="s">
        <v>378</v>
      </c>
      <c r="M10" s="27">
        <f t="shared" ref="M10:M56" si="1">H10-I10</f>
        <v>5</v>
      </c>
      <c r="N10" s="30"/>
      <c r="O10" s="31" t="s">
        <v>238</v>
      </c>
    </row>
    <row r="11" spans="1:15">
      <c r="A11" s="19" t="s">
        <v>36</v>
      </c>
      <c r="B11" s="32" t="s">
        <v>477</v>
      </c>
      <c r="C11" s="24" t="s">
        <v>284</v>
      </c>
      <c r="D11" s="34"/>
      <c r="E11" s="26">
        <v>10100</v>
      </c>
      <c r="F11" s="26">
        <v>584.99999999999659</v>
      </c>
      <c r="G11" s="27">
        <f>MARCH!M11</f>
        <v>-30480</v>
      </c>
      <c r="H11" s="27">
        <f t="shared" si="0"/>
        <v>-19795.000000000004</v>
      </c>
      <c r="I11" s="26"/>
      <c r="J11" s="93"/>
      <c r="K11" s="93"/>
      <c r="L11" s="29" t="s">
        <v>378</v>
      </c>
      <c r="M11" s="27">
        <f t="shared" si="1"/>
        <v>-19795.000000000004</v>
      </c>
      <c r="N11" s="30"/>
      <c r="O11" s="31"/>
    </row>
    <row r="12" spans="1:15">
      <c r="A12" s="19" t="s">
        <v>38</v>
      </c>
      <c r="B12" s="19" t="s">
        <v>24</v>
      </c>
      <c r="C12" s="24" t="s">
        <v>429</v>
      </c>
      <c r="D12" s="34"/>
      <c r="E12" s="26">
        <v>10100</v>
      </c>
      <c r="F12" s="26">
        <v>509.99999999999875</v>
      </c>
      <c r="G12" s="27">
        <f>MARCH!M12</f>
        <v>-304</v>
      </c>
      <c r="H12" s="27">
        <f t="shared" si="0"/>
        <v>10305.999999999998</v>
      </c>
      <c r="I12" s="26">
        <v>10000</v>
      </c>
      <c r="J12" s="93" t="s">
        <v>497</v>
      </c>
      <c r="K12" s="93" t="s">
        <v>498</v>
      </c>
      <c r="L12" s="29" t="s">
        <v>378</v>
      </c>
      <c r="M12" s="27">
        <f t="shared" si="1"/>
        <v>305.99999999999818</v>
      </c>
      <c r="N12" s="35" t="s">
        <v>434</v>
      </c>
      <c r="O12" s="31" t="s">
        <v>238</v>
      </c>
    </row>
    <row r="13" spans="1:15">
      <c r="A13" s="19" t="s">
        <v>39</v>
      </c>
      <c r="B13" s="32" t="s">
        <v>50</v>
      </c>
      <c r="C13" s="36" t="s">
        <v>51</v>
      </c>
      <c r="D13" s="33"/>
      <c r="E13" s="26">
        <v>10100</v>
      </c>
      <c r="F13" s="26">
        <v>810.00000000000091</v>
      </c>
      <c r="G13" s="27">
        <f>MARCH!M13</f>
        <v>85</v>
      </c>
      <c r="H13" s="27">
        <f t="shared" si="0"/>
        <v>10995</v>
      </c>
      <c r="I13" s="26">
        <v>10000</v>
      </c>
      <c r="J13" s="93" t="s">
        <v>432</v>
      </c>
      <c r="K13" s="93" t="s">
        <v>433</v>
      </c>
      <c r="L13" s="29" t="s">
        <v>378</v>
      </c>
      <c r="M13" s="27">
        <f t="shared" si="1"/>
        <v>995</v>
      </c>
      <c r="N13" s="30"/>
      <c r="O13" s="31" t="s">
        <v>238</v>
      </c>
    </row>
    <row r="14" spans="1:15">
      <c r="A14" s="19" t="s">
        <v>40</v>
      </c>
      <c r="B14" s="19" t="s">
        <v>52</v>
      </c>
      <c r="C14" s="24" t="s">
        <v>53</v>
      </c>
      <c r="D14" s="34"/>
      <c r="E14" s="26"/>
      <c r="F14" s="26"/>
      <c r="G14" s="27"/>
      <c r="H14" s="27">
        <f t="shared" si="0"/>
        <v>0</v>
      </c>
      <c r="I14" s="26"/>
      <c r="J14" s="95"/>
      <c r="K14" s="95"/>
      <c r="L14" s="29" t="s">
        <v>378</v>
      </c>
      <c r="M14" s="27">
        <f t="shared" si="1"/>
        <v>0</v>
      </c>
      <c r="N14" s="30" t="s">
        <v>430</v>
      </c>
      <c r="O14" s="31" t="s">
        <v>238</v>
      </c>
    </row>
    <row r="15" spans="1:15" s="44" customFormat="1">
      <c r="A15" s="38" t="s">
        <v>41</v>
      </c>
      <c r="B15" s="2" t="s">
        <v>54</v>
      </c>
      <c r="C15" s="39" t="s">
        <v>55</v>
      </c>
      <c r="D15" s="40"/>
      <c r="E15" s="41">
        <v>10100</v>
      </c>
      <c r="F15" s="41">
        <v>569.99999999999955</v>
      </c>
      <c r="G15" s="27">
        <f>MARCH!M15</f>
        <v>-160</v>
      </c>
      <c r="H15" s="27">
        <f t="shared" si="0"/>
        <v>10510</v>
      </c>
      <c r="I15" s="26">
        <v>10250</v>
      </c>
      <c r="J15" s="93" t="s">
        <v>380</v>
      </c>
      <c r="K15" s="94">
        <v>46085</v>
      </c>
      <c r="L15" s="29" t="s">
        <v>378</v>
      </c>
      <c r="M15" s="27">
        <f t="shared" si="1"/>
        <v>260</v>
      </c>
      <c r="N15" s="42"/>
      <c r="O15" s="43"/>
    </row>
    <row r="16" spans="1:15">
      <c r="A16" s="19" t="s">
        <v>42</v>
      </c>
      <c r="B16" s="19" t="s">
        <v>56</v>
      </c>
      <c r="C16" s="24" t="s">
        <v>57</v>
      </c>
      <c r="D16" s="34"/>
      <c r="E16" s="26">
        <v>12100</v>
      </c>
      <c r="F16" s="26">
        <v>810.00000000000091</v>
      </c>
      <c r="G16" s="27">
        <f>MARCH!M16</f>
        <v>0</v>
      </c>
      <c r="H16" s="27">
        <f t="shared" si="0"/>
        <v>12910</v>
      </c>
      <c r="I16" s="26">
        <v>12910</v>
      </c>
      <c r="J16" s="95" t="s">
        <v>403</v>
      </c>
      <c r="K16" s="95" t="s">
        <v>404</v>
      </c>
      <c r="L16" s="29" t="s">
        <v>378</v>
      </c>
      <c r="M16" s="27">
        <f t="shared" si="1"/>
        <v>0</v>
      </c>
      <c r="N16" s="15"/>
      <c r="O16" s="31" t="s">
        <v>238</v>
      </c>
    </row>
    <row r="17" spans="1:17">
      <c r="A17" s="19" t="s">
        <v>43</v>
      </c>
      <c r="B17" s="19" t="s">
        <v>58</v>
      </c>
      <c r="C17" s="24" t="s">
        <v>59</v>
      </c>
      <c r="D17" s="34"/>
      <c r="E17" s="26">
        <v>14100</v>
      </c>
      <c r="F17" s="26">
        <v>300</v>
      </c>
      <c r="G17" s="27">
        <f>MARCH!M17</f>
        <v>14625</v>
      </c>
      <c r="H17" s="27">
        <f t="shared" si="0"/>
        <v>29025</v>
      </c>
      <c r="I17" s="26">
        <f>20000+15000</f>
        <v>35000</v>
      </c>
      <c r="J17" s="93" t="s">
        <v>424</v>
      </c>
      <c r="K17" s="94">
        <v>46116</v>
      </c>
      <c r="L17" s="29" t="s">
        <v>378</v>
      </c>
      <c r="M17" s="27">
        <f t="shared" si="1"/>
        <v>-5975</v>
      </c>
      <c r="N17" s="30"/>
      <c r="O17" s="31"/>
    </row>
    <row r="18" spans="1:17">
      <c r="A18" s="19" t="s">
        <v>44</v>
      </c>
      <c r="B18" s="19" t="s">
        <v>60</v>
      </c>
      <c r="C18" s="24" t="s">
        <v>61</v>
      </c>
      <c r="D18" s="34"/>
      <c r="E18" s="26">
        <v>10100</v>
      </c>
      <c r="F18" s="26">
        <v>630.00000000000045</v>
      </c>
      <c r="G18" s="27">
        <f>MARCH!M18</f>
        <v>100</v>
      </c>
      <c r="H18" s="27">
        <f t="shared" si="0"/>
        <v>10830</v>
      </c>
      <c r="I18" s="26">
        <v>10630</v>
      </c>
      <c r="J18" s="93" t="s">
        <v>405</v>
      </c>
      <c r="K18" s="93" t="s">
        <v>400</v>
      </c>
      <c r="L18" s="29" t="s">
        <v>378</v>
      </c>
      <c r="M18" s="27">
        <f t="shared" si="1"/>
        <v>200</v>
      </c>
      <c r="N18" s="45"/>
      <c r="O18" s="31" t="s">
        <v>238</v>
      </c>
    </row>
    <row r="19" spans="1:17">
      <c r="A19" s="32" t="s">
        <v>62</v>
      </c>
      <c r="B19" s="32" t="s">
        <v>63</v>
      </c>
      <c r="C19" s="46" t="s">
        <v>64</v>
      </c>
      <c r="D19" s="33"/>
      <c r="E19" s="26">
        <v>10100</v>
      </c>
      <c r="F19" s="26">
        <v>179.99999999999937</v>
      </c>
      <c r="G19" s="27">
        <f>MARCH!M19</f>
        <v>0</v>
      </c>
      <c r="H19" s="27">
        <f t="shared" si="0"/>
        <v>10280</v>
      </c>
      <c r="I19" s="47">
        <v>10280</v>
      </c>
      <c r="J19" s="93" t="s">
        <v>398</v>
      </c>
      <c r="K19" s="94">
        <v>46116</v>
      </c>
      <c r="L19" s="29" t="s">
        <v>378</v>
      </c>
      <c r="M19" s="27">
        <f t="shared" si="1"/>
        <v>0</v>
      </c>
      <c r="N19" s="15"/>
      <c r="O19" s="31"/>
    </row>
    <row r="20" spans="1:17">
      <c r="A20" s="19" t="s">
        <v>65</v>
      </c>
      <c r="B20" s="19" t="s">
        <v>66</v>
      </c>
      <c r="C20" s="24" t="s">
        <v>67</v>
      </c>
      <c r="D20" s="33"/>
      <c r="E20" s="26">
        <v>10100</v>
      </c>
      <c r="F20" s="26">
        <v>180.00000000000043</v>
      </c>
      <c r="G20" s="27">
        <f>MARCH!M20</f>
        <v>0</v>
      </c>
      <c r="H20" s="27">
        <f t="shared" si="0"/>
        <v>10280</v>
      </c>
      <c r="I20" s="26">
        <v>10280</v>
      </c>
      <c r="J20" s="96" t="s">
        <v>395</v>
      </c>
      <c r="K20" s="100">
        <v>46177</v>
      </c>
      <c r="L20" s="29" t="s">
        <v>378</v>
      </c>
      <c r="M20" s="27">
        <f t="shared" si="1"/>
        <v>0</v>
      </c>
      <c r="N20" s="30"/>
      <c r="O20" s="31" t="s">
        <v>238</v>
      </c>
    </row>
    <row r="21" spans="1:17">
      <c r="A21" s="19" t="s">
        <v>68</v>
      </c>
      <c r="B21" s="19" t="s">
        <v>302</v>
      </c>
      <c r="C21" s="24" t="s">
        <v>431</v>
      </c>
      <c r="D21" s="34"/>
      <c r="E21" s="26">
        <v>10100</v>
      </c>
      <c r="F21" s="26">
        <v>540.00000000000023</v>
      </c>
      <c r="G21" s="27">
        <f>MARCH!M21</f>
        <v>-65</v>
      </c>
      <c r="H21" s="27">
        <f t="shared" si="0"/>
        <v>10575</v>
      </c>
      <c r="I21" s="26">
        <v>10300</v>
      </c>
      <c r="J21" s="93" t="s">
        <v>435</v>
      </c>
      <c r="K21" s="93" t="s">
        <v>433</v>
      </c>
      <c r="L21" s="29" t="s">
        <v>378</v>
      </c>
      <c r="M21" s="27">
        <f t="shared" si="1"/>
        <v>275</v>
      </c>
      <c r="N21" s="49"/>
      <c r="O21" s="31" t="s">
        <v>238</v>
      </c>
    </row>
    <row r="22" spans="1:17">
      <c r="A22" s="19" t="s">
        <v>71</v>
      </c>
      <c r="B22" s="19" t="s">
        <v>239</v>
      </c>
      <c r="C22" s="24" t="s">
        <v>310</v>
      </c>
      <c r="D22" s="34"/>
      <c r="E22" s="26">
        <v>10100</v>
      </c>
      <c r="F22" s="26">
        <v>-30.000000000000426</v>
      </c>
      <c r="G22" s="27">
        <f>MARCH!M22</f>
        <v>0</v>
      </c>
      <c r="H22" s="27">
        <f t="shared" si="0"/>
        <v>10070</v>
      </c>
      <c r="I22" s="26">
        <v>10445</v>
      </c>
      <c r="J22" s="93" t="s">
        <v>390</v>
      </c>
      <c r="K22" s="94">
        <v>46085</v>
      </c>
      <c r="L22" s="29" t="s">
        <v>378</v>
      </c>
      <c r="M22" s="27">
        <f t="shared" si="1"/>
        <v>-375</v>
      </c>
      <c r="N22" s="30"/>
      <c r="O22" s="31" t="s">
        <v>238</v>
      </c>
    </row>
    <row r="23" spans="1:17">
      <c r="A23" s="19" t="s">
        <v>74</v>
      </c>
      <c r="B23" s="32" t="s">
        <v>224</v>
      </c>
      <c r="C23" s="24" t="s">
        <v>225</v>
      </c>
      <c r="D23" s="34"/>
      <c r="E23" s="26">
        <v>10100</v>
      </c>
      <c r="F23" s="26">
        <v>1215.0000000000002</v>
      </c>
      <c r="G23" s="27">
        <f>MARCH!M23</f>
        <v>4225</v>
      </c>
      <c r="H23" s="27">
        <f t="shared" si="0"/>
        <v>15540</v>
      </c>
      <c r="I23" s="26">
        <v>11330</v>
      </c>
      <c r="J23" s="95" t="s">
        <v>454</v>
      </c>
      <c r="K23" s="95" t="s">
        <v>455</v>
      </c>
      <c r="L23" s="29" t="s">
        <v>378</v>
      </c>
      <c r="M23" s="27">
        <f t="shared" si="1"/>
        <v>4210</v>
      </c>
      <c r="N23" s="30"/>
      <c r="O23" s="77" t="s">
        <v>297</v>
      </c>
    </row>
    <row r="24" spans="1:17">
      <c r="A24" s="19" t="s">
        <v>77</v>
      </c>
      <c r="B24" s="19" t="s">
        <v>78</v>
      </c>
      <c r="C24" s="24" t="s">
        <v>299</v>
      </c>
      <c r="D24" s="34"/>
      <c r="E24" s="26">
        <v>10100</v>
      </c>
      <c r="F24" s="26">
        <v>254.99999999999829</v>
      </c>
      <c r="G24" s="27">
        <f>MARCH!M24</f>
        <v>-105</v>
      </c>
      <c r="H24" s="27">
        <f t="shared" si="0"/>
        <v>10249.999999999998</v>
      </c>
      <c r="I24" s="26">
        <v>10355</v>
      </c>
      <c r="J24" s="93" t="s">
        <v>393</v>
      </c>
      <c r="K24" s="94">
        <v>46146</v>
      </c>
      <c r="L24" s="29" t="s">
        <v>378</v>
      </c>
      <c r="M24" s="27">
        <f t="shared" si="1"/>
        <v>-105.00000000000182</v>
      </c>
      <c r="N24" s="30"/>
      <c r="O24" s="31" t="s">
        <v>238</v>
      </c>
      <c r="P24" t="s">
        <v>22</v>
      </c>
      <c r="Q24">
        <f>I57/H57*100</f>
        <v>111.05097753197855</v>
      </c>
    </row>
    <row r="25" spans="1:17">
      <c r="A25" s="19" t="s">
        <v>80</v>
      </c>
      <c r="B25" s="19" t="s">
        <v>81</v>
      </c>
      <c r="C25" s="46" t="s">
        <v>82</v>
      </c>
      <c r="D25" s="33"/>
      <c r="E25" s="26">
        <v>10100</v>
      </c>
      <c r="F25" s="26">
        <v>764.99999999999909</v>
      </c>
      <c r="G25" s="27">
        <f>MARCH!M25</f>
        <v>-26</v>
      </c>
      <c r="H25" s="27">
        <f t="shared" si="0"/>
        <v>10839</v>
      </c>
      <c r="I25" s="26">
        <v>10765</v>
      </c>
      <c r="J25" s="93" t="s">
        <v>397</v>
      </c>
      <c r="K25" s="94">
        <v>46085</v>
      </c>
      <c r="L25" s="29" t="s">
        <v>378</v>
      </c>
      <c r="M25" s="27">
        <f t="shared" si="1"/>
        <v>74</v>
      </c>
      <c r="N25" s="30"/>
      <c r="O25" s="31" t="s">
        <v>238</v>
      </c>
    </row>
    <row r="26" spans="1:17">
      <c r="A26" s="19" t="s">
        <v>83</v>
      </c>
      <c r="B26" s="19" t="s">
        <v>84</v>
      </c>
      <c r="C26" s="24" t="s">
        <v>85</v>
      </c>
      <c r="D26" s="33"/>
      <c r="E26" s="26">
        <v>10100</v>
      </c>
      <c r="F26" s="26">
        <v>225</v>
      </c>
      <c r="G26" s="27">
        <f>MARCH!M26</f>
        <v>0</v>
      </c>
      <c r="H26" s="27">
        <f t="shared" si="0"/>
        <v>10325</v>
      </c>
      <c r="I26" s="26">
        <v>10325</v>
      </c>
      <c r="J26" s="93" t="s">
        <v>386</v>
      </c>
      <c r="K26" s="94">
        <v>46116</v>
      </c>
      <c r="L26" s="29" t="s">
        <v>378</v>
      </c>
      <c r="M26" s="27">
        <f t="shared" si="1"/>
        <v>0</v>
      </c>
      <c r="N26" s="30"/>
      <c r="O26" s="31" t="s">
        <v>238</v>
      </c>
    </row>
    <row r="27" spans="1:17">
      <c r="A27" s="19" t="s">
        <v>86</v>
      </c>
      <c r="B27" s="19" t="s">
        <v>87</v>
      </c>
      <c r="C27" s="24" t="s">
        <v>88</v>
      </c>
      <c r="D27" s="33"/>
      <c r="E27" s="26">
        <v>10100</v>
      </c>
      <c r="F27" s="26">
        <v>494.99999999999744</v>
      </c>
      <c r="G27" s="27">
        <f>MARCH!M27</f>
        <v>-679.99999999999818</v>
      </c>
      <c r="H27" s="27">
        <f t="shared" si="0"/>
        <v>9915</v>
      </c>
      <c r="I27" s="26">
        <v>10595</v>
      </c>
      <c r="J27" s="93" t="s">
        <v>381</v>
      </c>
      <c r="K27" s="94">
        <v>46085</v>
      </c>
      <c r="L27" s="29" t="s">
        <v>378</v>
      </c>
      <c r="M27" s="27">
        <f t="shared" si="1"/>
        <v>-680</v>
      </c>
      <c r="N27" s="30"/>
      <c r="O27" s="31" t="s">
        <v>238</v>
      </c>
    </row>
    <row r="28" spans="1:17">
      <c r="A28" s="19" t="s">
        <v>89</v>
      </c>
      <c r="B28" s="19" t="s">
        <v>90</v>
      </c>
      <c r="C28" s="24" t="s">
        <v>91</v>
      </c>
      <c r="D28" s="33"/>
      <c r="E28" s="26">
        <v>10100</v>
      </c>
      <c r="F28" s="26">
        <v>225</v>
      </c>
      <c r="G28" s="27">
        <f>MARCH!M28</f>
        <v>0</v>
      </c>
      <c r="H28" s="27">
        <f t="shared" si="0"/>
        <v>10325</v>
      </c>
      <c r="I28" s="26">
        <v>10250</v>
      </c>
      <c r="J28" s="93" t="s">
        <v>436</v>
      </c>
      <c r="K28" s="94" t="s">
        <v>437</v>
      </c>
      <c r="L28" s="29" t="s">
        <v>378</v>
      </c>
      <c r="M28" s="27">
        <f t="shared" si="1"/>
        <v>75</v>
      </c>
      <c r="N28" s="30"/>
      <c r="O28" s="31"/>
      <c r="P28" t="s">
        <v>22</v>
      </c>
      <c r="Q28">
        <v>75.570748382370894</v>
      </c>
    </row>
    <row r="29" spans="1:17">
      <c r="A29" s="19" t="s">
        <v>92</v>
      </c>
      <c r="B29" s="19" t="s">
        <v>228</v>
      </c>
      <c r="C29" s="24"/>
      <c r="D29" s="33"/>
      <c r="E29" s="26"/>
      <c r="F29" s="26">
        <v>0</v>
      </c>
      <c r="G29" s="27">
        <f>MARCH!M29</f>
        <v>0</v>
      </c>
      <c r="H29" s="27">
        <f t="shared" si="0"/>
        <v>0</v>
      </c>
      <c r="I29" s="26"/>
      <c r="J29" s="93"/>
      <c r="K29" s="93"/>
      <c r="L29" s="29" t="s">
        <v>378</v>
      </c>
      <c r="M29" s="27">
        <f t="shared" si="1"/>
        <v>0</v>
      </c>
      <c r="N29" s="30"/>
      <c r="O29" s="31"/>
    </row>
    <row r="30" spans="1:17">
      <c r="A30" s="19" t="s">
        <v>95</v>
      </c>
      <c r="B30" s="19" t="s">
        <v>93</v>
      </c>
      <c r="C30" s="24" t="s">
        <v>94</v>
      </c>
      <c r="D30" s="33"/>
      <c r="E30" s="26">
        <v>10100</v>
      </c>
      <c r="F30" s="26">
        <v>269.99999999999955</v>
      </c>
      <c r="G30" s="27">
        <f>MARCH!M30</f>
        <v>0</v>
      </c>
      <c r="H30" s="27">
        <f t="shared" si="0"/>
        <v>10370</v>
      </c>
      <c r="I30" s="26">
        <v>10300</v>
      </c>
      <c r="J30" s="95" t="s">
        <v>382</v>
      </c>
      <c r="K30" s="97">
        <v>46116</v>
      </c>
      <c r="L30" s="29" t="s">
        <v>378</v>
      </c>
      <c r="M30" s="27">
        <f t="shared" si="1"/>
        <v>70</v>
      </c>
      <c r="N30" s="30"/>
      <c r="O30" s="31" t="s">
        <v>238</v>
      </c>
      <c r="P30" s="50" t="s">
        <v>23</v>
      </c>
    </row>
    <row r="31" spans="1:17">
      <c r="A31" s="19" t="s">
        <v>98</v>
      </c>
      <c r="B31" s="19" t="s">
        <v>96</v>
      </c>
      <c r="C31" s="24" t="s">
        <v>97</v>
      </c>
      <c r="D31" s="33"/>
      <c r="E31" s="26">
        <v>10100</v>
      </c>
      <c r="F31" s="26">
        <v>30.000000000000028</v>
      </c>
      <c r="G31" s="27">
        <f>MARCH!M31</f>
        <v>-8</v>
      </c>
      <c r="H31" s="27">
        <f t="shared" si="0"/>
        <v>10122</v>
      </c>
      <c r="I31" s="26">
        <v>10130</v>
      </c>
      <c r="J31" s="93" t="s">
        <v>406</v>
      </c>
      <c r="K31" s="93" t="s">
        <v>407</v>
      </c>
      <c r="L31" s="29" t="s">
        <v>378</v>
      </c>
      <c r="M31" s="27">
        <f t="shared" si="1"/>
        <v>-8</v>
      </c>
      <c r="N31" s="30"/>
      <c r="O31" s="31"/>
    </row>
    <row r="32" spans="1:17">
      <c r="A32" s="19" t="s">
        <v>99</v>
      </c>
      <c r="B32" s="32" t="s">
        <v>192</v>
      </c>
      <c r="C32" s="36" t="s">
        <v>193</v>
      </c>
      <c r="D32" s="33"/>
      <c r="E32" s="26">
        <v>10100</v>
      </c>
      <c r="F32" s="26">
        <v>839.99999999999909</v>
      </c>
      <c r="G32" s="27">
        <f>MARCH!M32</f>
        <v>0</v>
      </c>
      <c r="H32" s="27">
        <f t="shared" si="0"/>
        <v>10940</v>
      </c>
      <c r="I32" s="26">
        <v>10900</v>
      </c>
      <c r="J32" s="96" t="s">
        <v>420</v>
      </c>
      <c r="K32" s="93" t="s">
        <v>421</v>
      </c>
      <c r="L32" s="29" t="s">
        <v>378</v>
      </c>
      <c r="M32" s="27">
        <f t="shared" si="1"/>
        <v>40</v>
      </c>
      <c r="N32" s="30"/>
      <c r="O32" s="31" t="s">
        <v>238</v>
      </c>
    </row>
    <row r="33" spans="1:15">
      <c r="A33" s="19" t="s">
        <v>102</v>
      </c>
      <c r="B33" s="19" t="s">
        <v>100</v>
      </c>
      <c r="C33" s="24" t="s">
        <v>101</v>
      </c>
      <c r="D33" s="33"/>
      <c r="E33" s="26">
        <v>10100</v>
      </c>
      <c r="F33" s="26">
        <v>239.99999999999915</v>
      </c>
      <c r="G33" s="27">
        <f>MARCH!M33</f>
        <v>-170</v>
      </c>
      <c r="H33" s="27">
        <f t="shared" si="0"/>
        <v>10170</v>
      </c>
      <c r="I33" s="26">
        <v>10340</v>
      </c>
      <c r="J33" s="93" t="s">
        <v>383</v>
      </c>
      <c r="K33" s="94">
        <v>46116</v>
      </c>
      <c r="L33" s="29" t="s">
        <v>378</v>
      </c>
      <c r="M33" s="27">
        <f t="shared" si="1"/>
        <v>-170</v>
      </c>
      <c r="N33" s="30"/>
      <c r="O33" s="31" t="s">
        <v>238</v>
      </c>
    </row>
    <row r="34" spans="1:15">
      <c r="A34" s="19" t="s">
        <v>105</v>
      </c>
      <c r="B34" s="19" t="s">
        <v>103</v>
      </c>
      <c r="C34" s="24" t="s">
        <v>104</v>
      </c>
      <c r="D34" s="33"/>
      <c r="E34" s="26">
        <v>10100</v>
      </c>
      <c r="F34" s="26">
        <v>240.00000000000128</v>
      </c>
      <c r="G34" s="27">
        <f>MARCH!M34</f>
        <v>80</v>
      </c>
      <c r="H34" s="27">
        <f t="shared" si="0"/>
        <v>10420.000000000002</v>
      </c>
      <c r="I34" s="26">
        <v>10320</v>
      </c>
      <c r="J34" s="93" t="s">
        <v>439</v>
      </c>
      <c r="K34" s="93" t="s">
        <v>437</v>
      </c>
      <c r="L34" s="29" t="s">
        <v>378</v>
      </c>
      <c r="M34" s="27">
        <f t="shared" si="1"/>
        <v>100.00000000000182</v>
      </c>
      <c r="N34" s="30"/>
      <c r="O34" s="31"/>
    </row>
    <row r="35" spans="1:15">
      <c r="A35" s="19" t="s">
        <v>108</v>
      </c>
      <c r="B35" s="19" t="s">
        <v>106</v>
      </c>
      <c r="C35" s="24" t="s">
        <v>107</v>
      </c>
      <c r="D35" s="33"/>
      <c r="E35" s="26">
        <v>10100</v>
      </c>
      <c r="F35" s="26">
        <v>210.00000000000085</v>
      </c>
      <c r="G35" s="27">
        <f>MARCH!M35</f>
        <v>-10430</v>
      </c>
      <c r="H35" s="27">
        <f t="shared" si="0"/>
        <v>-119.99999999999915</v>
      </c>
      <c r="I35" s="26">
        <v>10310</v>
      </c>
      <c r="J35" s="93" t="s">
        <v>418</v>
      </c>
      <c r="K35" s="93" t="s">
        <v>419</v>
      </c>
      <c r="L35" s="29" t="s">
        <v>378</v>
      </c>
      <c r="M35" s="27">
        <f t="shared" si="1"/>
        <v>-10430</v>
      </c>
      <c r="N35" s="30"/>
      <c r="O35" s="31"/>
    </row>
    <row r="36" spans="1:15">
      <c r="A36" s="19" t="s">
        <v>111</v>
      </c>
      <c r="B36" s="19" t="s">
        <v>109</v>
      </c>
      <c r="C36" s="24" t="s">
        <v>110</v>
      </c>
      <c r="D36" s="33"/>
      <c r="E36" s="26">
        <v>10100</v>
      </c>
      <c r="F36" s="26">
        <v>164.99999999999915</v>
      </c>
      <c r="G36" s="27">
        <f>MARCH!M36</f>
        <v>-19.999999999998181</v>
      </c>
      <c r="H36" s="27">
        <f t="shared" si="0"/>
        <v>10245.000000000002</v>
      </c>
      <c r="I36" s="26">
        <f>10150+10300</f>
        <v>20450</v>
      </c>
      <c r="J36" s="93" t="s">
        <v>422</v>
      </c>
      <c r="K36" s="94" t="s">
        <v>423</v>
      </c>
      <c r="L36" s="29" t="s">
        <v>378</v>
      </c>
      <c r="M36" s="27">
        <f t="shared" si="1"/>
        <v>-10204.999999999998</v>
      </c>
      <c r="N36" s="30"/>
      <c r="O36" s="31"/>
    </row>
    <row r="37" spans="1:15">
      <c r="A37" s="19" t="s">
        <v>114</v>
      </c>
      <c r="B37" s="19" t="s">
        <v>112</v>
      </c>
      <c r="C37" s="24" t="s">
        <v>113</v>
      </c>
      <c r="D37" s="33"/>
      <c r="E37" s="26">
        <v>10100</v>
      </c>
      <c r="F37" s="26">
        <v>284.99999999999659</v>
      </c>
      <c r="G37" s="27">
        <f>MARCH!M37</f>
        <v>-39.999999999998181</v>
      </c>
      <c r="H37" s="27">
        <f t="shared" si="0"/>
        <v>10344.999999999998</v>
      </c>
      <c r="I37" s="26">
        <v>10370</v>
      </c>
      <c r="J37" s="93" t="s">
        <v>438</v>
      </c>
      <c r="K37" s="93" t="s">
        <v>433</v>
      </c>
      <c r="L37" s="29" t="s">
        <v>378</v>
      </c>
      <c r="M37" s="27">
        <f t="shared" si="1"/>
        <v>-25.000000000001819</v>
      </c>
      <c r="N37" s="30"/>
      <c r="O37" s="31"/>
    </row>
    <row r="38" spans="1:15">
      <c r="A38" s="19" t="s">
        <v>117</v>
      </c>
      <c r="B38" s="19" t="s">
        <v>115</v>
      </c>
      <c r="C38" s="24" t="s">
        <v>116</v>
      </c>
      <c r="D38" s="33"/>
      <c r="E38" s="26">
        <v>10100</v>
      </c>
      <c r="F38" s="26">
        <v>314.99999999999915</v>
      </c>
      <c r="G38" s="27">
        <f>MARCH!M38</f>
        <v>-10100</v>
      </c>
      <c r="H38" s="27">
        <f t="shared" si="0"/>
        <v>314.99999999999915</v>
      </c>
      <c r="I38" s="26"/>
      <c r="J38" s="93"/>
      <c r="K38" s="93"/>
      <c r="L38" s="29" t="s">
        <v>378</v>
      </c>
      <c r="M38" s="27">
        <f t="shared" si="1"/>
        <v>314.99999999999915</v>
      </c>
      <c r="N38" s="30"/>
      <c r="O38" s="31"/>
    </row>
    <row r="39" spans="1:15">
      <c r="A39" s="19" t="s">
        <v>120</v>
      </c>
      <c r="B39" s="19" t="s">
        <v>118</v>
      </c>
      <c r="C39" s="24" t="s">
        <v>119</v>
      </c>
      <c r="D39" s="33"/>
      <c r="E39" s="26">
        <v>10100</v>
      </c>
      <c r="F39" s="26">
        <v>150</v>
      </c>
      <c r="G39" s="27">
        <f>MARCH!M39</f>
        <v>100</v>
      </c>
      <c r="H39" s="27">
        <f t="shared" si="0"/>
        <v>10350</v>
      </c>
      <c r="I39" s="26">
        <v>10150</v>
      </c>
      <c r="J39" s="93" t="s">
        <v>394</v>
      </c>
      <c r="K39" s="94">
        <v>46116</v>
      </c>
      <c r="L39" s="29" t="s">
        <v>378</v>
      </c>
      <c r="M39" s="27">
        <f t="shared" si="1"/>
        <v>200</v>
      </c>
      <c r="N39" s="30"/>
      <c r="O39" s="31" t="s">
        <v>238</v>
      </c>
    </row>
    <row r="40" spans="1:15">
      <c r="A40" s="19" t="s">
        <v>122</v>
      </c>
      <c r="B40" s="19" t="s">
        <v>174</v>
      </c>
      <c r="C40" s="24"/>
      <c r="D40" s="33"/>
      <c r="E40" s="26">
        <v>10100</v>
      </c>
      <c r="F40" s="26">
        <v>1575</v>
      </c>
      <c r="G40" s="27">
        <f>MARCH!M40</f>
        <v>0</v>
      </c>
      <c r="H40" s="27">
        <f t="shared" si="0"/>
        <v>11675</v>
      </c>
      <c r="I40" s="26">
        <f>10100+1575</f>
        <v>11675</v>
      </c>
      <c r="J40" s="93" t="s">
        <v>494</v>
      </c>
      <c r="K40" s="93" t="s">
        <v>495</v>
      </c>
      <c r="L40" s="29" t="s">
        <v>378</v>
      </c>
      <c r="M40" s="27">
        <f t="shared" si="1"/>
        <v>0</v>
      </c>
      <c r="N40" s="30"/>
      <c r="O40" s="31" t="s">
        <v>238</v>
      </c>
    </row>
    <row r="41" spans="1:15">
      <c r="A41" s="19" t="s">
        <v>123</v>
      </c>
      <c r="B41" s="19" t="s">
        <v>183</v>
      </c>
      <c r="C41" s="24"/>
      <c r="D41" s="33"/>
      <c r="E41" s="26"/>
      <c r="F41" s="26"/>
      <c r="G41" s="27">
        <f>MARCH!M41</f>
        <v>0</v>
      </c>
      <c r="H41" s="27">
        <f t="shared" si="0"/>
        <v>0</v>
      </c>
      <c r="I41" s="26"/>
      <c r="J41" s="93"/>
      <c r="K41" s="93"/>
      <c r="L41" s="29" t="s">
        <v>378</v>
      </c>
      <c r="M41" s="27">
        <f t="shared" si="1"/>
        <v>0</v>
      </c>
      <c r="N41" s="30"/>
      <c r="O41" s="31" t="s">
        <v>238</v>
      </c>
    </row>
    <row r="42" spans="1:15">
      <c r="A42" s="19" t="s">
        <v>126</v>
      </c>
      <c r="B42" s="19" t="s">
        <v>124</v>
      </c>
      <c r="C42" s="24" t="s">
        <v>125</v>
      </c>
      <c r="D42" s="33"/>
      <c r="E42" s="26">
        <v>10100</v>
      </c>
      <c r="F42" s="26">
        <v>150</v>
      </c>
      <c r="G42" s="27">
        <f>MARCH!M42</f>
        <v>-302</v>
      </c>
      <c r="H42" s="27">
        <f t="shared" si="0"/>
        <v>9948</v>
      </c>
      <c r="I42" s="26">
        <v>10000</v>
      </c>
      <c r="J42" s="93" t="s">
        <v>392</v>
      </c>
      <c r="K42" s="94">
        <v>46026</v>
      </c>
      <c r="L42" s="29" t="s">
        <v>378</v>
      </c>
      <c r="M42" s="27">
        <f t="shared" si="1"/>
        <v>-52</v>
      </c>
      <c r="N42" s="30"/>
      <c r="O42" s="31" t="s">
        <v>238</v>
      </c>
    </row>
    <row r="43" spans="1:15">
      <c r="A43" s="19" t="s">
        <v>127</v>
      </c>
      <c r="B43" s="19" t="s">
        <v>169</v>
      </c>
      <c r="C43" s="24" t="s">
        <v>170</v>
      </c>
      <c r="D43" s="33"/>
      <c r="E43" s="26">
        <v>10100</v>
      </c>
      <c r="F43" s="26">
        <v>14.999999999999147</v>
      </c>
      <c r="G43" s="27">
        <f>MARCH!M43</f>
        <v>800</v>
      </c>
      <c r="H43" s="27">
        <f t="shared" si="0"/>
        <v>10915</v>
      </c>
      <c r="I43" s="26">
        <f>10000+900</f>
        <v>10900</v>
      </c>
      <c r="J43" s="93" t="s">
        <v>402</v>
      </c>
      <c r="K43" s="93" t="s">
        <v>401</v>
      </c>
      <c r="L43" s="29" t="s">
        <v>378</v>
      </c>
      <c r="M43" s="27">
        <f t="shared" si="1"/>
        <v>15</v>
      </c>
      <c r="N43" s="30"/>
      <c r="O43" s="31" t="s">
        <v>238</v>
      </c>
    </row>
    <row r="44" spans="1:15">
      <c r="A44" s="19" t="s">
        <v>130</v>
      </c>
      <c r="B44" s="19" t="s">
        <v>128</v>
      </c>
      <c r="C44" s="24" t="s">
        <v>129</v>
      </c>
      <c r="D44" s="33"/>
      <c r="E44" s="26">
        <v>10100</v>
      </c>
      <c r="F44" s="26">
        <v>360.00000000000085</v>
      </c>
      <c r="G44" s="27">
        <f>MARCH!M44</f>
        <v>-4791</v>
      </c>
      <c r="H44" s="27">
        <f t="shared" si="0"/>
        <v>5669.0000000000009</v>
      </c>
      <c r="I44" s="26">
        <v>3000</v>
      </c>
      <c r="J44" s="93" t="s">
        <v>416</v>
      </c>
      <c r="K44" s="93" t="s">
        <v>417</v>
      </c>
      <c r="L44" s="29" t="s">
        <v>378</v>
      </c>
      <c r="M44" s="27">
        <f t="shared" si="1"/>
        <v>2669.0000000000009</v>
      </c>
      <c r="N44" s="30"/>
      <c r="O44" s="31" t="s">
        <v>238</v>
      </c>
    </row>
    <row r="45" spans="1:15">
      <c r="A45" s="19" t="s">
        <v>133</v>
      </c>
      <c r="B45" s="19" t="s">
        <v>300</v>
      </c>
      <c r="C45" s="24" t="s">
        <v>132</v>
      </c>
      <c r="D45" s="33"/>
      <c r="E45" s="26">
        <v>10100</v>
      </c>
      <c r="F45" s="26">
        <v>465.00000000000125</v>
      </c>
      <c r="G45" s="27">
        <f>MARCH!M45</f>
        <v>100</v>
      </c>
      <c r="H45" s="27">
        <f t="shared" si="0"/>
        <v>10665.000000000002</v>
      </c>
      <c r="I45" s="26">
        <v>10390</v>
      </c>
      <c r="J45" s="93" t="s">
        <v>408</v>
      </c>
      <c r="K45" s="93" t="s">
        <v>409</v>
      </c>
      <c r="L45" s="29" t="s">
        <v>378</v>
      </c>
      <c r="M45" s="27">
        <f t="shared" si="1"/>
        <v>275.00000000000182</v>
      </c>
      <c r="N45" s="30"/>
      <c r="O45" s="31" t="s">
        <v>238</v>
      </c>
    </row>
    <row r="46" spans="1:15">
      <c r="A46" s="19" t="s">
        <v>136</v>
      </c>
      <c r="B46" s="19" t="s">
        <v>134</v>
      </c>
      <c r="C46" s="24" t="s">
        <v>135</v>
      </c>
      <c r="D46" s="33"/>
      <c r="E46" s="26">
        <v>10100</v>
      </c>
      <c r="F46" s="26">
        <v>870.00000000000171</v>
      </c>
      <c r="G46" s="27">
        <f>MARCH!M46</f>
        <v>-111.00000000000182</v>
      </c>
      <c r="H46" s="27">
        <f t="shared" si="0"/>
        <v>10859</v>
      </c>
      <c r="I46" s="26">
        <v>10970</v>
      </c>
      <c r="J46" s="93" t="s">
        <v>389</v>
      </c>
      <c r="K46" s="94">
        <v>46146</v>
      </c>
      <c r="L46" s="29" t="s">
        <v>378</v>
      </c>
      <c r="M46" s="27">
        <f t="shared" si="1"/>
        <v>-111</v>
      </c>
      <c r="N46" s="30"/>
      <c r="O46" s="31" t="s">
        <v>238</v>
      </c>
    </row>
    <row r="47" spans="1:15">
      <c r="A47" s="19" t="s">
        <v>139</v>
      </c>
      <c r="B47" s="19" t="s">
        <v>137</v>
      </c>
      <c r="C47" s="24" t="s">
        <v>138</v>
      </c>
      <c r="D47" s="33"/>
      <c r="E47" s="26">
        <v>10100</v>
      </c>
      <c r="F47" s="26">
        <v>15.000000000000213</v>
      </c>
      <c r="G47" s="27">
        <f>MARCH!M47</f>
        <v>0</v>
      </c>
      <c r="H47" s="27">
        <f t="shared" si="0"/>
        <v>10115</v>
      </c>
      <c r="I47" s="26">
        <v>10115</v>
      </c>
      <c r="J47" s="93" t="s">
        <v>385</v>
      </c>
      <c r="K47" s="94">
        <v>46116</v>
      </c>
      <c r="L47" s="29" t="s">
        <v>378</v>
      </c>
      <c r="M47" s="27">
        <f t="shared" si="1"/>
        <v>0</v>
      </c>
      <c r="N47" s="30"/>
      <c r="O47" s="31"/>
    </row>
    <row r="48" spans="1:15">
      <c r="A48" s="19" t="s">
        <v>142</v>
      </c>
      <c r="B48" s="19" t="s">
        <v>140</v>
      </c>
      <c r="C48" s="24" t="s">
        <v>293</v>
      </c>
      <c r="D48" s="33"/>
      <c r="E48" s="26">
        <v>10100</v>
      </c>
      <c r="F48" s="26">
        <v>150</v>
      </c>
      <c r="G48" s="27">
        <f>MARCH!M48</f>
        <v>0</v>
      </c>
      <c r="H48" s="27">
        <f t="shared" si="0"/>
        <v>10250</v>
      </c>
      <c r="I48" s="26">
        <v>10200</v>
      </c>
      <c r="J48" s="93" t="s">
        <v>411</v>
      </c>
      <c r="K48" s="93" t="s">
        <v>412</v>
      </c>
      <c r="L48" s="29" t="s">
        <v>378</v>
      </c>
      <c r="M48" s="27">
        <f t="shared" si="1"/>
        <v>50</v>
      </c>
      <c r="N48" s="30"/>
      <c r="O48" s="31" t="s">
        <v>238</v>
      </c>
    </row>
    <row r="49" spans="1:15">
      <c r="A49" s="19" t="s">
        <v>145</v>
      </c>
      <c r="B49" s="19" t="s">
        <v>143</v>
      </c>
      <c r="C49" s="24" t="s">
        <v>144</v>
      </c>
      <c r="D49" s="33"/>
      <c r="E49" s="26">
        <v>10100</v>
      </c>
      <c r="F49" s="26">
        <v>300</v>
      </c>
      <c r="G49" s="27">
        <f>MARCH!M49</f>
        <v>-125</v>
      </c>
      <c r="H49" s="27">
        <f t="shared" si="0"/>
        <v>10275</v>
      </c>
      <c r="I49" s="26">
        <v>10400</v>
      </c>
      <c r="J49" s="93" t="s">
        <v>396</v>
      </c>
      <c r="K49" s="94">
        <v>46177</v>
      </c>
      <c r="L49" s="29" t="s">
        <v>378</v>
      </c>
      <c r="M49" s="27">
        <f t="shared" si="1"/>
        <v>-125</v>
      </c>
      <c r="N49" s="30"/>
      <c r="O49" s="31"/>
    </row>
    <row r="50" spans="1:15">
      <c r="A50" s="19" t="s">
        <v>148</v>
      </c>
      <c r="B50" s="19" t="s">
        <v>146</v>
      </c>
      <c r="C50" s="24" t="s">
        <v>147</v>
      </c>
      <c r="D50" s="33"/>
      <c r="E50" s="26">
        <v>10100</v>
      </c>
      <c r="F50" s="26">
        <v>240.00000000000023</v>
      </c>
      <c r="G50" s="27">
        <f>MARCH!M50</f>
        <v>0</v>
      </c>
      <c r="H50" s="27">
        <f t="shared" si="0"/>
        <v>10340</v>
      </c>
      <c r="I50" s="26">
        <v>10340</v>
      </c>
      <c r="J50" s="93" t="s">
        <v>413</v>
      </c>
      <c r="K50" s="93" t="s">
        <v>401</v>
      </c>
      <c r="L50" s="29" t="s">
        <v>378</v>
      </c>
      <c r="M50" s="27">
        <f t="shared" si="1"/>
        <v>0</v>
      </c>
      <c r="N50" s="30"/>
      <c r="O50" s="31"/>
    </row>
    <row r="51" spans="1:15">
      <c r="A51" s="19" t="s">
        <v>156</v>
      </c>
      <c r="B51" s="19" t="s">
        <v>159</v>
      </c>
      <c r="C51" s="24" t="s">
        <v>285</v>
      </c>
      <c r="D51" s="33"/>
      <c r="E51" s="26">
        <v>10100</v>
      </c>
      <c r="F51" s="26">
        <v>270.00000000000171</v>
      </c>
      <c r="G51" s="27">
        <f>MARCH!M51</f>
        <v>-40.000000000001819</v>
      </c>
      <c r="H51" s="27">
        <f t="shared" si="0"/>
        <v>10330</v>
      </c>
      <c r="I51" s="26">
        <v>10370</v>
      </c>
      <c r="J51" s="93" t="s">
        <v>388</v>
      </c>
      <c r="K51" s="94">
        <v>46116</v>
      </c>
      <c r="L51" s="29" t="s">
        <v>378</v>
      </c>
      <c r="M51" s="27">
        <f t="shared" si="1"/>
        <v>-40</v>
      </c>
      <c r="N51" s="30"/>
      <c r="O51" s="31" t="s">
        <v>238</v>
      </c>
    </row>
    <row r="52" spans="1:15">
      <c r="A52" s="19" t="s">
        <v>157</v>
      </c>
      <c r="B52" s="19" t="s">
        <v>149</v>
      </c>
      <c r="C52" s="24" t="s">
        <v>150</v>
      </c>
      <c r="D52" s="33"/>
      <c r="E52" s="26">
        <v>10100</v>
      </c>
      <c r="F52" s="26">
        <v>30.000000000000426</v>
      </c>
      <c r="G52" s="27">
        <f>MARCH!M52</f>
        <v>100</v>
      </c>
      <c r="H52" s="27">
        <f t="shared" si="0"/>
        <v>10230</v>
      </c>
      <c r="I52" s="26">
        <v>10200</v>
      </c>
      <c r="J52" s="93" t="s">
        <v>410</v>
      </c>
      <c r="K52" s="93" t="s">
        <v>401</v>
      </c>
      <c r="L52" s="29" t="s">
        <v>378</v>
      </c>
      <c r="M52" s="27">
        <f t="shared" si="1"/>
        <v>30</v>
      </c>
      <c r="N52" s="30"/>
      <c r="O52" s="31"/>
    </row>
    <row r="53" spans="1:15">
      <c r="A53" s="19" t="s">
        <v>158</v>
      </c>
      <c r="B53" s="79" t="s">
        <v>160</v>
      </c>
      <c r="C53" s="88" t="s">
        <v>311</v>
      </c>
      <c r="D53" s="33"/>
      <c r="E53" s="26">
        <v>10100</v>
      </c>
      <c r="F53" s="26">
        <v>419.99999999999744</v>
      </c>
      <c r="G53" s="27">
        <f>MARCH!M53</f>
        <v>-230</v>
      </c>
      <c r="H53" s="27">
        <f t="shared" si="0"/>
        <v>10289.999999999998</v>
      </c>
      <c r="I53" s="26">
        <v>10520</v>
      </c>
      <c r="J53" s="93" t="s">
        <v>391</v>
      </c>
      <c r="K53" s="94">
        <v>46116</v>
      </c>
      <c r="L53" s="29" t="s">
        <v>378</v>
      </c>
      <c r="M53" s="27">
        <f t="shared" si="1"/>
        <v>-230.00000000000182</v>
      </c>
      <c r="N53" s="30"/>
      <c r="O53" s="31"/>
    </row>
    <row r="54" spans="1:15">
      <c r="A54" s="19" t="s">
        <v>151</v>
      </c>
      <c r="B54" s="19" t="s">
        <v>152</v>
      </c>
      <c r="C54" s="24" t="s">
        <v>153</v>
      </c>
      <c r="D54" s="33"/>
      <c r="E54" s="26">
        <v>10100</v>
      </c>
      <c r="F54" s="26">
        <v>419.99999999999744</v>
      </c>
      <c r="G54" s="27">
        <f>MARCH!M54</f>
        <v>-80</v>
      </c>
      <c r="H54" s="27">
        <f t="shared" si="0"/>
        <v>10439.999999999998</v>
      </c>
      <c r="I54" s="26">
        <v>10520</v>
      </c>
      <c r="J54" s="93" t="s">
        <v>387</v>
      </c>
      <c r="K54" s="93"/>
      <c r="L54" s="29" t="s">
        <v>378</v>
      </c>
      <c r="M54" s="27">
        <f t="shared" si="1"/>
        <v>-80.000000000001819</v>
      </c>
      <c r="N54" s="30"/>
      <c r="O54" s="31" t="s">
        <v>238</v>
      </c>
    </row>
    <row r="55" spans="1:15">
      <c r="A55" s="19" t="s">
        <v>161</v>
      </c>
      <c r="B55" s="19" t="s">
        <v>154</v>
      </c>
      <c r="C55" s="24" t="s">
        <v>155</v>
      </c>
      <c r="D55" s="33"/>
      <c r="E55" s="26">
        <v>10100</v>
      </c>
      <c r="F55" s="26">
        <v>450</v>
      </c>
      <c r="G55" s="27">
        <f>MARCH!M55</f>
        <v>0</v>
      </c>
      <c r="H55" s="27">
        <f t="shared" si="0"/>
        <v>10550</v>
      </c>
      <c r="I55" s="26">
        <v>10000</v>
      </c>
      <c r="J55" s="93"/>
      <c r="K55" s="93" t="s">
        <v>440</v>
      </c>
      <c r="L55" s="29" t="s">
        <v>378</v>
      </c>
      <c r="M55" s="27">
        <f t="shared" si="1"/>
        <v>550</v>
      </c>
      <c r="N55" s="30"/>
      <c r="O55" s="31" t="s">
        <v>238</v>
      </c>
    </row>
    <row r="56" spans="1:15">
      <c r="A56" s="19" t="s">
        <v>162</v>
      </c>
      <c r="B56" s="19" t="s">
        <v>273</v>
      </c>
      <c r="C56" s="24" t="s">
        <v>272</v>
      </c>
      <c r="D56" s="33"/>
      <c r="E56" s="26">
        <v>9600</v>
      </c>
      <c r="F56" s="26">
        <v>615.00000000000125</v>
      </c>
      <c r="G56" s="27">
        <f>MARCH!M56</f>
        <v>-10100</v>
      </c>
      <c r="H56" s="27">
        <f t="shared" si="0"/>
        <v>115.00000000000125</v>
      </c>
      <c r="I56" s="26">
        <v>10000</v>
      </c>
      <c r="J56" s="93" t="s">
        <v>414</v>
      </c>
      <c r="K56" s="93" t="s">
        <v>415</v>
      </c>
      <c r="L56" s="29" t="s">
        <v>378</v>
      </c>
      <c r="M56" s="27">
        <f t="shared" si="1"/>
        <v>-9884.9999999999982</v>
      </c>
      <c r="N56" s="30"/>
      <c r="O56" s="31" t="s">
        <v>238</v>
      </c>
    </row>
    <row r="57" spans="1:15">
      <c r="A57" s="52" t="s">
        <v>25</v>
      </c>
      <c r="B57" s="19"/>
      <c r="C57" s="53"/>
      <c r="D57" s="54"/>
      <c r="E57" s="54">
        <f>SUM(E9:E56)</f>
        <v>460000</v>
      </c>
      <c r="F57" s="54">
        <f>SUM(F9:F56)</f>
        <v>18674.999999999985</v>
      </c>
      <c r="G57" s="54">
        <f>SUM(G9:G56)</f>
        <v>-48152</v>
      </c>
      <c r="H57" s="54">
        <f>SUM(H9:H56)</f>
        <v>430523</v>
      </c>
      <c r="I57" s="54">
        <f>SUM(I9:I56)</f>
        <v>478100</v>
      </c>
      <c r="J57" s="54"/>
      <c r="K57" s="54"/>
      <c r="L57" s="54"/>
      <c r="M57" s="54">
        <f>SUM(M9:M56)</f>
        <v>-47577.000000000007</v>
      </c>
      <c r="N57" s="55"/>
      <c r="O57" s="55"/>
    </row>
    <row r="58" spans="1:15">
      <c r="A58" s="12"/>
      <c r="B58" s="19"/>
      <c r="C58" s="53"/>
      <c r="D58" s="56"/>
      <c r="E58" s="57"/>
      <c r="F58" s="57"/>
      <c r="G58" s="58"/>
      <c r="H58" s="57"/>
      <c r="I58" s="57"/>
      <c r="J58" s="12"/>
      <c r="K58" s="12"/>
      <c r="L58" s="12"/>
      <c r="M58" s="57"/>
      <c r="N58" s="57"/>
      <c r="O58" s="57"/>
    </row>
    <row r="59" spans="1:15">
      <c r="A59" s="59" t="s">
        <v>26</v>
      </c>
      <c r="B59" s="19"/>
      <c r="C59" s="53"/>
      <c r="D59" s="56"/>
      <c r="E59" s="57"/>
      <c r="F59" s="57"/>
      <c r="G59" s="58"/>
      <c r="H59" s="57"/>
      <c r="I59" s="57"/>
      <c r="J59" s="12"/>
      <c r="K59" s="12"/>
      <c r="L59" s="12"/>
      <c r="M59" s="57"/>
      <c r="N59" s="57"/>
      <c r="O59" s="57"/>
    </row>
    <row r="60" spans="1:15">
      <c r="A60" s="19" t="s">
        <v>27</v>
      </c>
      <c r="B60" s="19"/>
      <c r="C60" s="53"/>
      <c r="D60" s="19"/>
      <c r="E60" s="19"/>
      <c r="F60" s="19"/>
      <c r="G60" s="20"/>
      <c r="H60" s="19"/>
      <c r="I60" s="60">
        <f>6%*I57</f>
        <v>28686</v>
      </c>
      <c r="J60" s="19"/>
      <c r="K60" s="19"/>
      <c r="L60" s="19"/>
      <c r="M60" s="19"/>
      <c r="N60" s="15"/>
      <c r="O60" s="19"/>
    </row>
    <row r="61" spans="1:15">
      <c r="A61" s="19" t="s">
        <v>375</v>
      </c>
      <c r="B61" s="19"/>
      <c r="C61" s="53"/>
      <c r="D61" s="19"/>
      <c r="E61" s="19"/>
      <c r="F61" s="19"/>
      <c r="G61" s="20"/>
      <c r="H61" s="19"/>
      <c r="I61" s="60"/>
      <c r="J61" s="19"/>
      <c r="K61" s="19"/>
      <c r="L61" s="19"/>
      <c r="M61" s="19"/>
      <c r="N61" s="15"/>
      <c r="O61" s="19"/>
    </row>
    <row r="62" spans="1:15" ht="16.5">
      <c r="A62" s="15" t="s">
        <v>28</v>
      </c>
      <c r="B62" s="15"/>
      <c r="C62" s="15"/>
      <c r="D62" s="15"/>
      <c r="E62" s="15"/>
      <c r="F62" s="15"/>
      <c r="G62" s="61"/>
      <c r="H62" s="15"/>
      <c r="I62" s="62">
        <f>SUM(I60:I61)</f>
        <v>28686</v>
      </c>
      <c r="J62" s="15"/>
      <c r="K62" s="15"/>
      <c r="L62" s="19"/>
      <c r="M62" s="15"/>
      <c r="N62" s="15"/>
      <c r="O62" s="15"/>
    </row>
    <row r="63" spans="1:15">
      <c r="A63" s="15"/>
      <c r="B63" s="15"/>
      <c r="C63" s="15"/>
      <c r="D63" s="15"/>
      <c r="E63" s="15"/>
      <c r="F63" s="15"/>
      <c r="G63" s="61"/>
      <c r="H63" s="15"/>
      <c r="I63" s="63"/>
      <c r="J63" s="15"/>
      <c r="K63" s="15"/>
      <c r="L63" s="15"/>
      <c r="M63" s="15"/>
      <c r="N63" s="15"/>
      <c r="O63" s="15"/>
    </row>
    <row r="64" spans="1:15">
      <c r="A64" s="2" t="s">
        <v>29</v>
      </c>
      <c r="B64" s="2"/>
      <c r="C64" s="2"/>
      <c r="D64" s="2"/>
      <c r="E64" s="2"/>
      <c r="F64" s="2"/>
      <c r="G64" s="64"/>
      <c r="H64" s="2"/>
      <c r="I64" s="47"/>
      <c r="J64" s="65" t="s">
        <v>30</v>
      </c>
      <c r="K64" s="65"/>
      <c r="L64" s="65" t="s">
        <v>30</v>
      </c>
      <c r="M64" s="66" t="s">
        <v>31</v>
      </c>
    </row>
    <row r="65" spans="1:15" ht="15.75" thickBot="1">
      <c r="A65" s="1" t="s">
        <v>32</v>
      </c>
      <c r="B65" s="1"/>
      <c r="C65" s="1"/>
      <c r="D65" s="1"/>
      <c r="E65" s="1"/>
      <c r="F65" s="1"/>
      <c r="G65" s="67"/>
      <c r="H65" s="68"/>
      <c r="I65" s="69">
        <f>I62</f>
        <v>28686</v>
      </c>
      <c r="J65" s="70"/>
      <c r="K65" s="70"/>
      <c r="L65" s="71"/>
      <c r="M65" s="72">
        <f>I65-J65-L65</f>
        <v>28686</v>
      </c>
    </row>
    <row r="66" spans="1:15" ht="15.75" thickTop="1">
      <c r="A66" s="1"/>
      <c r="B66" s="2"/>
      <c r="C66" s="2"/>
      <c r="D66" s="68"/>
      <c r="E66" s="68"/>
      <c r="F66" s="68"/>
      <c r="G66" s="70"/>
      <c r="H66" s="2"/>
      <c r="I66" s="73"/>
      <c r="J66" s="19"/>
      <c r="K66" s="19"/>
      <c r="L66" s="2"/>
      <c r="M66" s="19"/>
      <c r="N66" s="2"/>
      <c r="O66" s="68"/>
    </row>
    <row r="67" spans="1:15">
      <c r="A67" s="2" t="s">
        <v>33</v>
      </c>
      <c r="B67" s="2"/>
      <c r="C67" s="2"/>
      <c r="D67" s="2"/>
      <c r="E67" s="2"/>
      <c r="F67" s="2"/>
      <c r="G67" s="64"/>
      <c r="H67" s="2"/>
      <c r="I67" s="27"/>
      <c r="J67" s="19"/>
      <c r="K67" s="19"/>
      <c r="L67" s="2"/>
      <c r="M67" s="74">
        <v>46142</v>
      </c>
      <c r="N67" s="75"/>
      <c r="O67" s="76"/>
    </row>
    <row r="68" spans="1:15">
      <c r="A68" s="44"/>
      <c r="B68" s="44"/>
      <c r="C68" s="44"/>
      <c r="D68" s="44"/>
      <c r="E68" s="44"/>
      <c r="F68" s="44"/>
      <c r="G68" s="44"/>
      <c r="H68" s="44"/>
      <c r="L68" s="44"/>
      <c r="N68" s="44"/>
      <c r="O68" s="44"/>
    </row>
    <row r="69" spans="1:15" s="44" customFormat="1">
      <c r="I69"/>
      <c r="J69"/>
      <c r="K69"/>
      <c r="M69"/>
    </row>
    <row r="70" spans="1:15">
      <c r="A70" s="44"/>
      <c r="B70" s="44"/>
      <c r="C70" s="44"/>
      <c r="D70" s="44"/>
      <c r="E70" s="44"/>
      <c r="F70" s="44"/>
      <c r="G70" s="44"/>
      <c r="H70" s="44"/>
      <c r="L70" s="44"/>
      <c r="N70" s="44"/>
      <c r="O70" s="44"/>
    </row>
    <row r="71" spans="1:15">
      <c r="E71">
        <f>I57/H57*100</f>
        <v>111.05097753197855</v>
      </c>
    </row>
  </sheetData>
  <mergeCells count="1">
    <mergeCell ref="A3:M3"/>
  </mergeCells>
  <pageMargins left="0.7" right="0.7" top="0.75" bottom="0.75" header="0.3" footer="0.3"/>
  <pageSetup scale="2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15CB-8B66-4DF7-91F6-5D22B38AF08A}">
  <sheetPr>
    <pageSetUpPr fitToPage="1"/>
  </sheetPr>
  <dimension ref="A1:T71"/>
  <sheetViews>
    <sheetView topLeftCell="A25" zoomScale="93" zoomScaleNormal="93" workbookViewId="0">
      <selection activeCell="A36" sqref="A36:XFD36"/>
    </sheetView>
  </sheetViews>
  <sheetFormatPr defaultColWidth="9" defaultRowHeight="15"/>
  <cols>
    <col min="2" max="2" width="15.28515625" customWidth="1"/>
    <col min="3" max="3" width="14.85546875" customWidth="1"/>
    <col min="5" max="6" width="9.7109375" customWidth="1"/>
    <col min="7" max="7" width="9.42578125" customWidth="1"/>
    <col min="8" max="8" width="10" customWidth="1"/>
    <col min="9" max="9" width="11.28515625" customWidth="1"/>
    <col min="10" max="10" width="27.7109375" customWidth="1"/>
    <col min="11" max="11" width="26.28515625" customWidth="1"/>
    <col min="12" max="12" width="8.28515625" customWidth="1"/>
    <col min="13" max="13" width="13.7109375" customWidth="1"/>
    <col min="14" max="14" width="15.140625" customWidth="1"/>
    <col min="15" max="15" width="12.7109375" customWidth="1"/>
    <col min="16" max="18" width="0" hidden="1" customWidth="1"/>
  </cols>
  <sheetData>
    <row r="1" spans="1:20">
      <c r="A1" s="1"/>
      <c r="B1" s="2"/>
      <c r="C1" s="3" t="s">
        <v>0</v>
      </c>
      <c r="D1" s="4"/>
      <c r="E1" s="2"/>
      <c r="F1" s="2"/>
      <c r="G1" s="5"/>
      <c r="H1" s="6"/>
      <c r="I1" s="7"/>
      <c r="J1" s="8"/>
      <c r="K1" s="8"/>
      <c r="L1" s="9"/>
      <c r="M1" s="10"/>
      <c r="N1" s="11"/>
      <c r="O1" s="11"/>
    </row>
    <row r="2" spans="1:20">
      <c r="A2" s="1" t="s">
        <v>1</v>
      </c>
      <c r="B2" s="1"/>
      <c r="C2" s="1"/>
      <c r="D2" s="1"/>
      <c r="E2" s="6"/>
      <c r="F2" s="6"/>
      <c r="G2" s="5"/>
      <c r="H2" s="6"/>
      <c r="I2" s="7"/>
      <c r="J2" s="8"/>
      <c r="K2" s="8"/>
      <c r="L2" s="9"/>
      <c r="M2" s="10"/>
      <c r="N2" s="11"/>
      <c r="O2" s="11"/>
    </row>
    <row r="3" spans="1:20">
      <c r="A3" s="104" t="s">
        <v>426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"/>
      <c r="O3" s="1"/>
    </row>
    <row r="4" spans="1:20">
      <c r="A4" s="12"/>
      <c r="B4" s="12"/>
      <c r="C4" s="12"/>
      <c r="D4" s="7"/>
      <c r="E4" s="7"/>
      <c r="F4" s="7"/>
      <c r="G4" s="13"/>
      <c r="H4" s="7"/>
      <c r="I4" s="7"/>
      <c r="J4" s="8" t="s">
        <v>3</v>
      </c>
      <c r="K4" s="8"/>
      <c r="L4" s="8"/>
      <c r="M4" s="14"/>
      <c r="N4" s="14"/>
      <c r="O4" s="14"/>
    </row>
    <row r="5" spans="1:20">
      <c r="A5" s="15" t="s">
        <v>34</v>
      </c>
      <c r="B5" s="15"/>
      <c r="C5" s="15"/>
      <c r="D5" s="14"/>
      <c r="E5" s="14"/>
      <c r="F5" s="14"/>
      <c r="G5" s="16"/>
      <c r="H5" s="14"/>
      <c r="I5" s="14"/>
      <c r="J5" s="17" t="s">
        <v>4</v>
      </c>
      <c r="K5" s="17"/>
      <c r="L5" s="17"/>
      <c r="M5" s="14"/>
      <c r="N5" s="14"/>
      <c r="O5" s="14"/>
    </row>
    <row r="6" spans="1:20">
      <c r="A6" s="15" t="s">
        <v>5</v>
      </c>
      <c r="B6" s="18"/>
      <c r="C6" s="15"/>
      <c r="D6" s="19"/>
      <c r="E6" s="19"/>
      <c r="F6" s="19"/>
      <c r="G6" s="20"/>
      <c r="H6" s="19"/>
      <c r="I6" s="14" t="s">
        <v>6</v>
      </c>
      <c r="J6" s="17" t="s">
        <v>197</v>
      </c>
      <c r="K6" s="17"/>
      <c r="L6" s="17"/>
      <c r="M6" s="14"/>
      <c r="N6" s="14"/>
      <c r="O6" s="14"/>
    </row>
    <row r="7" spans="1:20">
      <c r="A7" s="15"/>
      <c r="B7" s="15"/>
      <c r="C7" s="15"/>
      <c r="D7" s="19"/>
      <c r="E7" s="19"/>
      <c r="F7" s="19"/>
      <c r="G7" s="20"/>
      <c r="H7" s="19"/>
      <c r="I7" s="14" t="s">
        <v>7</v>
      </c>
      <c r="J7" s="78" t="s">
        <v>198</v>
      </c>
      <c r="K7" s="78"/>
      <c r="L7" s="17"/>
      <c r="M7" s="14"/>
      <c r="N7" s="14"/>
      <c r="O7" s="14"/>
    </row>
    <row r="8" spans="1:20" ht="24.75">
      <c r="A8" s="12" t="s">
        <v>8</v>
      </c>
      <c r="B8" s="12" t="s">
        <v>9</v>
      </c>
      <c r="C8" s="12" t="s">
        <v>10</v>
      </c>
      <c r="D8" s="21" t="s">
        <v>11</v>
      </c>
      <c r="E8" s="22" t="s">
        <v>12</v>
      </c>
      <c r="F8" s="22" t="s">
        <v>163</v>
      </c>
      <c r="G8" s="13" t="s">
        <v>13</v>
      </c>
      <c r="H8" s="23" t="s">
        <v>14</v>
      </c>
      <c r="I8" s="7" t="s">
        <v>15</v>
      </c>
      <c r="J8" s="12" t="s">
        <v>16</v>
      </c>
      <c r="K8" s="12" t="s">
        <v>207</v>
      </c>
      <c r="L8" s="12" t="s">
        <v>17</v>
      </c>
      <c r="M8" s="7" t="s">
        <v>18</v>
      </c>
      <c r="N8" s="7" t="s">
        <v>19</v>
      </c>
      <c r="O8" s="7" t="s">
        <v>20</v>
      </c>
    </row>
    <row r="9" spans="1:20">
      <c r="A9" s="19" t="s">
        <v>35</v>
      </c>
      <c r="B9" s="19" t="s">
        <v>45</v>
      </c>
      <c r="C9" s="24" t="s">
        <v>46</v>
      </c>
      <c r="D9" s="25"/>
      <c r="E9" s="26">
        <v>10100</v>
      </c>
      <c r="F9" s="26">
        <v>225</v>
      </c>
      <c r="G9" s="27">
        <f>APR!M9</f>
        <v>0</v>
      </c>
      <c r="H9" s="27">
        <f>D9+E9+G9+F9</f>
        <v>10325</v>
      </c>
      <c r="I9" s="26">
        <v>10325</v>
      </c>
      <c r="J9" s="93" t="s">
        <v>448</v>
      </c>
      <c r="K9" s="94" t="s">
        <v>449</v>
      </c>
      <c r="L9" s="29" t="s">
        <v>425</v>
      </c>
      <c r="M9" s="27">
        <f>H9-I9</f>
        <v>0</v>
      </c>
      <c r="N9" s="30"/>
      <c r="O9" s="31"/>
    </row>
    <row r="10" spans="1:20">
      <c r="A10" s="32" t="s">
        <v>37</v>
      </c>
      <c r="B10" s="32" t="s">
        <v>47</v>
      </c>
      <c r="C10" s="24" t="s">
        <v>465</v>
      </c>
      <c r="D10" s="33"/>
      <c r="E10" s="26">
        <v>10100</v>
      </c>
      <c r="F10" s="26">
        <v>329.99999999999829</v>
      </c>
      <c r="G10" s="27">
        <f>APR!M10</f>
        <v>5</v>
      </c>
      <c r="H10" s="27">
        <f t="shared" ref="H10:H56" si="0">D10+E10+G10+F10</f>
        <v>10434.999999999998</v>
      </c>
      <c r="I10" s="26">
        <v>10450</v>
      </c>
      <c r="J10" s="93" t="s">
        <v>523</v>
      </c>
      <c r="K10" s="93" t="s">
        <v>501</v>
      </c>
      <c r="L10" s="29" t="s">
        <v>425</v>
      </c>
      <c r="M10" s="27">
        <f t="shared" ref="M10:M56" si="1">H10-I10</f>
        <v>-15.000000000001819</v>
      </c>
      <c r="N10" s="30"/>
      <c r="O10" s="31" t="s">
        <v>238</v>
      </c>
    </row>
    <row r="11" spans="1:20">
      <c r="A11" s="19" t="s">
        <v>36</v>
      </c>
      <c r="B11" s="32" t="s">
        <v>477</v>
      </c>
      <c r="C11" s="24" t="s">
        <v>284</v>
      </c>
      <c r="D11" s="34"/>
      <c r="E11" s="26">
        <v>10100</v>
      </c>
      <c r="F11" s="26">
        <v>390.00000000000341</v>
      </c>
      <c r="G11" s="27">
        <f>APR!M11</f>
        <v>-19795.000000000004</v>
      </c>
      <c r="H11" s="27">
        <f t="shared" si="0"/>
        <v>-9305</v>
      </c>
      <c r="I11" s="26"/>
      <c r="J11" s="93"/>
      <c r="K11" s="93"/>
      <c r="L11" s="29" t="s">
        <v>425</v>
      </c>
      <c r="M11" s="27">
        <f t="shared" si="1"/>
        <v>-9305</v>
      </c>
      <c r="N11" s="30"/>
      <c r="O11" s="31"/>
    </row>
    <row r="12" spans="1:20">
      <c r="A12" s="19" t="s">
        <v>38</v>
      </c>
      <c r="B12" s="19" t="s">
        <v>506</v>
      </c>
      <c r="C12" s="24" t="s">
        <v>507</v>
      </c>
      <c r="D12" s="34"/>
      <c r="E12" s="26">
        <v>10100</v>
      </c>
      <c r="F12" s="26">
        <v>0</v>
      </c>
      <c r="G12" s="27">
        <v>0</v>
      </c>
      <c r="H12" s="27">
        <f t="shared" si="0"/>
        <v>10100</v>
      </c>
      <c r="I12" s="26">
        <f>5000+5000</f>
        <v>10000</v>
      </c>
      <c r="J12" s="93" t="s">
        <v>508</v>
      </c>
      <c r="K12" s="93" t="s">
        <v>469</v>
      </c>
      <c r="L12" s="29" t="s">
        <v>425</v>
      </c>
      <c r="M12" s="27">
        <f>H12-I12</f>
        <v>100</v>
      </c>
      <c r="N12" s="35" t="s">
        <v>515</v>
      </c>
      <c r="O12" s="31" t="s">
        <v>238</v>
      </c>
    </row>
    <row r="13" spans="1:20">
      <c r="A13" s="19" t="s">
        <v>39</v>
      </c>
      <c r="B13" s="32" t="s">
        <v>50</v>
      </c>
      <c r="C13" s="36" t="s">
        <v>51</v>
      </c>
      <c r="D13" s="33"/>
      <c r="E13" s="26">
        <v>10100</v>
      </c>
      <c r="F13" s="26">
        <v>179.99999999999829</v>
      </c>
      <c r="G13" s="27">
        <f>APR!M13</f>
        <v>995</v>
      </c>
      <c r="H13" s="27">
        <f t="shared" si="0"/>
        <v>11274.999999999998</v>
      </c>
      <c r="I13" s="26">
        <v>10000</v>
      </c>
      <c r="J13" s="93" t="s">
        <v>471</v>
      </c>
      <c r="K13" s="93" t="s">
        <v>472</v>
      </c>
      <c r="L13" s="29" t="s">
        <v>425</v>
      </c>
      <c r="M13" s="27">
        <f t="shared" si="1"/>
        <v>1274.9999999999982</v>
      </c>
      <c r="N13" s="30"/>
      <c r="O13" s="31" t="s">
        <v>238</v>
      </c>
    </row>
    <row r="14" spans="1:20">
      <c r="A14" s="19" t="s">
        <v>40</v>
      </c>
      <c r="B14" s="19" t="s">
        <v>509</v>
      </c>
      <c r="C14" s="24"/>
      <c r="D14" s="34">
        <v>5000</v>
      </c>
      <c r="E14" s="26">
        <v>10100</v>
      </c>
      <c r="F14" s="26"/>
      <c r="G14" s="27">
        <f>APR!M14</f>
        <v>0</v>
      </c>
      <c r="H14" s="27">
        <f t="shared" si="0"/>
        <v>15100</v>
      </c>
      <c r="I14" s="26">
        <v>15000</v>
      </c>
      <c r="J14" s="95" t="s">
        <v>510</v>
      </c>
      <c r="K14" s="95" t="s">
        <v>511</v>
      </c>
      <c r="L14" s="29" t="s">
        <v>425</v>
      </c>
      <c r="M14" s="27">
        <f t="shared" si="1"/>
        <v>100</v>
      </c>
      <c r="N14" s="35" t="s">
        <v>514</v>
      </c>
      <c r="O14" s="31"/>
    </row>
    <row r="15" spans="1:20" s="44" customFormat="1">
      <c r="A15" s="38" t="s">
        <v>41</v>
      </c>
      <c r="B15" s="2" t="s">
        <v>467</v>
      </c>
      <c r="C15" s="39" t="s">
        <v>468</v>
      </c>
      <c r="D15" s="40">
        <v>10000</v>
      </c>
      <c r="E15" s="41">
        <v>10100</v>
      </c>
      <c r="F15" s="41">
        <v>0</v>
      </c>
      <c r="G15" s="27">
        <v>0</v>
      </c>
      <c r="H15" s="27">
        <f t="shared" si="0"/>
        <v>20100</v>
      </c>
      <c r="I15" s="26">
        <f>20100+10250</f>
        <v>30350</v>
      </c>
      <c r="J15" s="93" t="s">
        <v>505</v>
      </c>
      <c r="K15" s="94" t="s">
        <v>469</v>
      </c>
      <c r="L15" s="29" t="s">
        <v>425</v>
      </c>
      <c r="M15" s="27">
        <f t="shared" si="1"/>
        <v>-10250</v>
      </c>
      <c r="N15" s="42" t="s">
        <v>516</v>
      </c>
      <c r="O15" s="43"/>
    </row>
    <row r="16" spans="1:20">
      <c r="A16" s="19" t="s">
        <v>42</v>
      </c>
      <c r="B16" s="19" t="s">
        <v>56</v>
      </c>
      <c r="C16" s="24" t="s">
        <v>470</v>
      </c>
      <c r="D16" s="34"/>
      <c r="E16" s="26">
        <v>12100</v>
      </c>
      <c r="F16" s="26">
        <v>675</v>
      </c>
      <c r="G16" s="27">
        <f>APR!M16</f>
        <v>0</v>
      </c>
      <c r="H16" s="27">
        <f t="shared" si="0"/>
        <v>12775</v>
      </c>
      <c r="I16" s="26">
        <v>12765</v>
      </c>
      <c r="J16" s="95"/>
      <c r="K16" s="95" t="s">
        <v>720</v>
      </c>
      <c r="L16" s="29" t="s">
        <v>425</v>
      </c>
      <c r="M16" s="27">
        <f t="shared" si="1"/>
        <v>10</v>
      </c>
      <c r="N16" s="15"/>
      <c r="O16" s="31" t="s">
        <v>238</v>
      </c>
      <c r="S16">
        <v>12765</v>
      </c>
      <c r="T16" t="s">
        <v>482</v>
      </c>
    </row>
    <row r="17" spans="1:17">
      <c r="A17" s="19" t="s">
        <v>43</v>
      </c>
      <c r="B17" s="19" t="s">
        <v>58</v>
      </c>
      <c r="C17" s="24" t="s">
        <v>59</v>
      </c>
      <c r="D17" s="34"/>
      <c r="E17" s="26">
        <v>14100</v>
      </c>
      <c r="F17" s="26">
        <v>1875</v>
      </c>
      <c r="G17" s="27">
        <f>APR!M17</f>
        <v>-5975</v>
      </c>
      <c r="H17" s="27">
        <f t="shared" si="0"/>
        <v>10000</v>
      </c>
      <c r="I17" s="26">
        <v>15000</v>
      </c>
      <c r="J17" s="93" t="s">
        <v>441</v>
      </c>
      <c r="K17" s="94" t="s">
        <v>442</v>
      </c>
      <c r="L17" s="29" t="s">
        <v>425</v>
      </c>
      <c r="M17" s="27">
        <f t="shared" si="1"/>
        <v>-5000</v>
      </c>
      <c r="N17" s="30"/>
      <c r="O17" s="31"/>
    </row>
    <row r="18" spans="1:17">
      <c r="A18" s="19" t="s">
        <v>44</v>
      </c>
      <c r="B18" s="19" t="s">
        <v>60</v>
      </c>
      <c r="C18" s="24" t="s">
        <v>473</v>
      </c>
      <c r="D18" s="34"/>
      <c r="E18" s="26">
        <v>10100</v>
      </c>
      <c r="F18" s="26">
        <v>660.00000000000091</v>
      </c>
      <c r="G18" s="27">
        <f>APR!M18</f>
        <v>200</v>
      </c>
      <c r="H18" s="27">
        <f t="shared" si="0"/>
        <v>10960</v>
      </c>
      <c r="I18" s="26">
        <v>10600</v>
      </c>
      <c r="J18" s="93" t="s">
        <v>534</v>
      </c>
      <c r="K18" s="93" t="s">
        <v>472</v>
      </c>
      <c r="L18" s="29" t="s">
        <v>425</v>
      </c>
      <c r="M18" s="27">
        <f t="shared" si="1"/>
        <v>360</v>
      </c>
      <c r="N18" s="45"/>
      <c r="O18" s="31" t="s">
        <v>238</v>
      </c>
    </row>
    <row r="19" spans="1:17">
      <c r="A19" s="32" t="s">
        <v>62</v>
      </c>
      <c r="B19" s="32" t="s">
        <v>63</v>
      </c>
      <c r="C19" s="46" t="s">
        <v>64</v>
      </c>
      <c r="D19" s="33"/>
      <c r="E19" s="26">
        <v>10100</v>
      </c>
      <c r="F19" s="26">
        <v>165.00000000000023</v>
      </c>
      <c r="G19" s="27">
        <f>APR!M19</f>
        <v>0</v>
      </c>
      <c r="H19" s="27">
        <f t="shared" si="0"/>
        <v>10265</v>
      </c>
      <c r="I19" s="47">
        <v>10160</v>
      </c>
      <c r="J19" s="93" t="s">
        <v>524</v>
      </c>
      <c r="K19" s="94" t="s">
        <v>452</v>
      </c>
      <c r="L19" s="29" t="s">
        <v>425</v>
      </c>
      <c r="M19" s="27">
        <f t="shared" si="1"/>
        <v>105</v>
      </c>
      <c r="N19" s="15"/>
      <c r="O19" s="31"/>
    </row>
    <row r="20" spans="1:17">
      <c r="A20" s="19" t="s">
        <v>65</v>
      </c>
      <c r="B20" s="19" t="s">
        <v>66</v>
      </c>
      <c r="C20" s="24" t="s">
        <v>67</v>
      </c>
      <c r="D20" s="33"/>
      <c r="E20" s="26">
        <v>10100</v>
      </c>
      <c r="F20" s="26">
        <v>269.99999999999955</v>
      </c>
      <c r="G20" s="27">
        <f>APR!M20</f>
        <v>0</v>
      </c>
      <c r="H20" s="27">
        <f t="shared" si="0"/>
        <v>10370</v>
      </c>
      <c r="I20" s="26">
        <v>10370</v>
      </c>
      <c r="J20" s="96" t="s">
        <v>460</v>
      </c>
      <c r="K20" s="94" t="s">
        <v>459</v>
      </c>
      <c r="L20" s="29" t="s">
        <v>425</v>
      </c>
      <c r="M20" s="27">
        <f t="shared" si="1"/>
        <v>0</v>
      </c>
      <c r="N20" s="30"/>
      <c r="O20" s="31" t="s">
        <v>238</v>
      </c>
    </row>
    <row r="21" spans="1:17">
      <c r="A21" s="19" t="s">
        <v>68</v>
      </c>
      <c r="B21" s="19" t="s">
        <v>302</v>
      </c>
      <c r="C21" s="24" t="s">
        <v>474</v>
      </c>
      <c r="D21" s="34"/>
      <c r="E21" s="26">
        <v>10100</v>
      </c>
      <c r="F21" s="26">
        <v>480.00000000000045</v>
      </c>
      <c r="G21" s="27">
        <f>APR!M21</f>
        <v>275</v>
      </c>
      <c r="H21" s="27">
        <f t="shared" si="0"/>
        <v>10855</v>
      </c>
      <c r="I21" s="26">
        <v>10500</v>
      </c>
      <c r="J21" s="93" t="s">
        <v>500</v>
      </c>
      <c r="K21" s="93" t="s">
        <v>501</v>
      </c>
      <c r="L21" s="29" t="s">
        <v>425</v>
      </c>
      <c r="M21" s="27">
        <f t="shared" si="1"/>
        <v>355</v>
      </c>
      <c r="N21" s="49"/>
      <c r="O21" s="31" t="s">
        <v>238</v>
      </c>
    </row>
    <row r="22" spans="1:17">
      <c r="A22" s="19" t="s">
        <v>71</v>
      </c>
      <c r="B22" s="19" t="s">
        <v>239</v>
      </c>
      <c r="C22" s="24" t="s">
        <v>475</v>
      </c>
      <c r="D22" s="34"/>
      <c r="E22" s="26">
        <v>10100</v>
      </c>
      <c r="F22" s="26">
        <v>810.00000000000091</v>
      </c>
      <c r="G22" s="27">
        <f>APR!M22</f>
        <v>-375</v>
      </c>
      <c r="H22" s="27">
        <f t="shared" si="0"/>
        <v>10535</v>
      </c>
      <c r="I22" s="26">
        <v>10950</v>
      </c>
      <c r="J22" s="93" t="s">
        <v>480</v>
      </c>
      <c r="K22" s="94" t="s">
        <v>469</v>
      </c>
      <c r="L22" s="29" t="s">
        <v>425</v>
      </c>
      <c r="M22" s="27">
        <f t="shared" si="1"/>
        <v>-415</v>
      </c>
      <c r="N22" s="30"/>
      <c r="O22" s="31" t="s">
        <v>238</v>
      </c>
    </row>
    <row r="23" spans="1:17">
      <c r="A23" s="19" t="s">
        <v>74</v>
      </c>
      <c r="B23" s="32" t="s">
        <v>233</v>
      </c>
      <c r="C23" s="24" t="s">
        <v>476</v>
      </c>
      <c r="D23" s="34"/>
      <c r="E23" s="26">
        <v>10100</v>
      </c>
      <c r="F23" s="26">
        <v>914.99999999999909</v>
      </c>
      <c r="G23" s="27">
        <f>APR!M23</f>
        <v>4210</v>
      </c>
      <c r="H23" s="27">
        <f t="shared" si="0"/>
        <v>15225</v>
      </c>
      <c r="I23" s="26">
        <v>11000</v>
      </c>
      <c r="J23" s="95" t="s">
        <v>478</v>
      </c>
      <c r="K23" s="95" t="s">
        <v>479</v>
      </c>
      <c r="L23" s="29" t="s">
        <v>425</v>
      </c>
      <c r="M23" s="27">
        <f t="shared" si="1"/>
        <v>4225</v>
      </c>
      <c r="N23" s="30"/>
      <c r="O23" s="77" t="s">
        <v>297</v>
      </c>
    </row>
    <row r="24" spans="1:17">
      <c r="A24" s="19" t="s">
        <v>77</v>
      </c>
      <c r="B24" s="19" t="s">
        <v>78</v>
      </c>
      <c r="C24" s="24" t="s">
        <v>299</v>
      </c>
      <c r="D24" s="34"/>
      <c r="E24" s="26">
        <v>10100</v>
      </c>
      <c r="F24" s="26">
        <v>315.00000000000125</v>
      </c>
      <c r="G24" s="27">
        <f>APR!M24</f>
        <v>-105.00000000000182</v>
      </c>
      <c r="H24" s="27">
        <f t="shared" si="0"/>
        <v>10310</v>
      </c>
      <c r="I24" s="26">
        <v>10415</v>
      </c>
      <c r="J24" s="93" t="s">
        <v>450</v>
      </c>
      <c r="K24" s="94" t="s">
        <v>449</v>
      </c>
      <c r="L24" s="29" t="s">
        <v>425</v>
      </c>
      <c r="M24" s="27">
        <f t="shared" si="1"/>
        <v>-105</v>
      </c>
      <c r="N24" s="30"/>
      <c r="O24" s="31" t="s">
        <v>238</v>
      </c>
      <c r="P24" t="s">
        <v>22</v>
      </c>
      <c r="Q24">
        <f>I57/H57*100</f>
        <v>108.48068930691103</v>
      </c>
    </row>
    <row r="25" spans="1:17">
      <c r="A25" s="19" t="s">
        <v>80</v>
      </c>
      <c r="B25" s="19" t="s">
        <v>81</v>
      </c>
      <c r="C25" s="46" t="s">
        <v>82</v>
      </c>
      <c r="D25" s="33"/>
      <c r="E25" s="26">
        <v>10100</v>
      </c>
      <c r="F25" s="26">
        <v>480.00000000000256</v>
      </c>
      <c r="G25" s="27">
        <f>APR!M25</f>
        <v>74</v>
      </c>
      <c r="H25" s="27">
        <f t="shared" si="0"/>
        <v>10654.000000000002</v>
      </c>
      <c r="I25" s="26">
        <v>10340</v>
      </c>
      <c r="J25" s="93" t="s">
        <v>521</v>
      </c>
      <c r="K25" s="94" t="s">
        <v>532</v>
      </c>
      <c r="L25" s="29" t="s">
        <v>425</v>
      </c>
      <c r="M25" s="27">
        <f t="shared" si="1"/>
        <v>314.00000000000182</v>
      </c>
      <c r="N25" s="30"/>
      <c r="O25" s="31" t="s">
        <v>238</v>
      </c>
    </row>
    <row r="26" spans="1:17">
      <c r="A26" s="19" t="s">
        <v>83</v>
      </c>
      <c r="B26" s="19" t="s">
        <v>84</v>
      </c>
      <c r="C26" s="24" t="s">
        <v>85</v>
      </c>
      <c r="D26" s="33"/>
      <c r="E26" s="26">
        <v>10100</v>
      </c>
      <c r="F26" s="26">
        <v>105.00000000000256</v>
      </c>
      <c r="G26" s="27">
        <f>APR!M26</f>
        <v>0</v>
      </c>
      <c r="H26" s="27">
        <f t="shared" si="0"/>
        <v>10205.000000000002</v>
      </c>
      <c r="I26" s="26">
        <v>10205</v>
      </c>
      <c r="J26" s="93" t="s">
        <v>427</v>
      </c>
      <c r="K26" s="94">
        <v>46147</v>
      </c>
      <c r="L26" s="29" t="s">
        <v>425</v>
      </c>
      <c r="M26" s="27">
        <f t="shared" si="1"/>
        <v>0</v>
      </c>
      <c r="N26" s="30"/>
      <c r="O26" s="31" t="s">
        <v>238</v>
      </c>
    </row>
    <row r="27" spans="1:17">
      <c r="A27" s="19" t="s">
        <v>86</v>
      </c>
      <c r="B27" s="19" t="s">
        <v>87</v>
      </c>
      <c r="C27" s="24" t="s">
        <v>88</v>
      </c>
      <c r="D27" s="33"/>
      <c r="E27" s="26">
        <v>10100</v>
      </c>
      <c r="F27" s="26">
        <v>480.00000000000256</v>
      </c>
      <c r="G27" s="27">
        <f>APR!M27</f>
        <v>-680</v>
      </c>
      <c r="H27" s="27">
        <f t="shared" si="0"/>
        <v>9900.0000000000018</v>
      </c>
      <c r="I27" s="26">
        <v>10580</v>
      </c>
      <c r="J27" s="93" t="s">
        <v>530</v>
      </c>
      <c r="K27" s="94" t="s">
        <v>469</v>
      </c>
      <c r="L27" s="29" t="s">
        <v>425</v>
      </c>
      <c r="M27" s="27">
        <f t="shared" si="1"/>
        <v>-679.99999999999818</v>
      </c>
      <c r="N27" s="30"/>
      <c r="O27" s="31" t="s">
        <v>238</v>
      </c>
    </row>
    <row r="28" spans="1:17">
      <c r="A28" s="19" t="s">
        <v>89</v>
      </c>
      <c r="B28" s="19" t="s">
        <v>90</v>
      </c>
      <c r="C28" s="24" t="s">
        <v>91</v>
      </c>
      <c r="D28" s="33"/>
      <c r="E28" s="26">
        <v>10100</v>
      </c>
      <c r="F28" s="26">
        <v>105.00000000000043</v>
      </c>
      <c r="G28" s="27">
        <f>APR!M28</f>
        <v>75</v>
      </c>
      <c r="H28" s="27">
        <f t="shared" si="0"/>
        <v>10280</v>
      </c>
      <c r="I28" s="26">
        <v>10105</v>
      </c>
      <c r="J28" s="93" t="s">
        <v>502</v>
      </c>
      <c r="K28" s="94" t="s">
        <v>501</v>
      </c>
      <c r="L28" s="29" t="s">
        <v>425</v>
      </c>
      <c r="M28" s="27">
        <f t="shared" si="1"/>
        <v>175</v>
      </c>
      <c r="N28" s="30"/>
      <c r="O28" s="31"/>
      <c r="P28" t="s">
        <v>22</v>
      </c>
      <c r="Q28">
        <v>75.570748382370894</v>
      </c>
    </row>
    <row r="29" spans="1:17">
      <c r="A29" s="19" t="s">
        <v>92</v>
      </c>
      <c r="B29" s="19" t="s">
        <v>228</v>
      </c>
      <c r="C29" s="24"/>
      <c r="D29" s="33"/>
      <c r="E29" s="26"/>
      <c r="F29" s="26"/>
      <c r="G29" s="27">
        <f>APR!M29</f>
        <v>0</v>
      </c>
      <c r="H29" s="27">
        <f t="shared" si="0"/>
        <v>0</v>
      </c>
      <c r="I29" s="26"/>
      <c r="J29" s="93"/>
      <c r="K29" s="93"/>
      <c r="L29" s="29" t="s">
        <v>425</v>
      </c>
      <c r="M29" s="27">
        <f t="shared" si="1"/>
        <v>0</v>
      </c>
      <c r="N29" s="30"/>
      <c r="O29" s="31"/>
    </row>
    <row r="30" spans="1:17">
      <c r="A30" s="19" t="s">
        <v>95</v>
      </c>
      <c r="B30" s="19" t="s">
        <v>93</v>
      </c>
      <c r="C30" s="24" t="s">
        <v>94</v>
      </c>
      <c r="D30" s="33"/>
      <c r="E30" s="26">
        <v>10100</v>
      </c>
      <c r="F30" s="26">
        <v>180.00000000000043</v>
      </c>
      <c r="G30" s="27">
        <f>APR!M30</f>
        <v>70</v>
      </c>
      <c r="H30" s="27">
        <f t="shared" si="0"/>
        <v>10350</v>
      </c>
      <c r="I30" s="26">
        <v>10300</v>
      </c>
      <c r="J30" s="95" t="s">
        <v>445</v>
      </c>
      <c r="K30" s="97" t="s">
        <v>446</v>
      </c>
      <c r="L30" s="29" t="s">
        <v>425</v>
      </c>
      <c r="M30" s="27">
        <f t="shared" si="1"/>
        <v>50</v>
      </c>
      <c r="N30" s="30"/>
      <c r="O30" s="31" t="s">
        <v>238</v>
      </c>
      <c r="P30" s="50" t="s">
        <v>23</v>
      </c>
    </row>
    <row r="31" spans="1:17">
      <c r="A31" s="19" t="s">
        <v>98</v>
      </c>
      <c r="B31" s="19" t="s">
        <v>96</v>
      </c>
      <c r="C31" s="24" t="s">
        <v>97</v>
      </c>
      <c r="D31" s="33"/>
      <c r="E31" s="26">
        <v>10100</v>
      </c>
      <c r="F31" s="26">
        <v>0</v>
      </c>
      <c r="G31" s="27">
        <f>APR!M31</f>
        <v>-8</v>
      </c>
      <c r="H31" s="27">
        <f t="shared" si="0"/>
        <v>10092</v>
      </c>
      <c r="I31" s="26">
        <v>10100</v>
      </c>
      <c r="J31" s="93" t="s">
        <v>487</v>
      </c>
      <c r="K31" s="93" t="s">
        <v>472</v>
      </c>
      <c r="L31" s="29" t="s">
        <v>425</v>
      </c>
      <c r="M31" s="27">
        <f t="shared" si="1"/>
        <v>-8</v>
      </c>
      <c r="N31" s="30"/>
      <c r="O31" s="31"/>
    </row>
    <row r="32" spans="1:17">
      <c r="A32" s="19" t="s">
        <v>99</v>
      </c>
      <c r="B32" s="32" t="s">
        <v>192</v>
      </c>
      <c r="C32" s="36" t="s">
        <v>193</v>
      </c>
      <c r="D32" s="33"/>
      <c r="E32" s="26">
        <v>10100</v>
      </c>
      <c r="F32" s="26">
        <v>510.00000000000085</v>
      </c>
      <c r="G32" s="27">
        <f>APR!M32</f>
        <v>40</v>
      </c>
      <c r="H32" s="27">
        <f t="shared" si="0"/>
        <v>10650</v>
      </c>
      <c r="I32" s="26">
        <v>10000</v>
      </c>
      <c r="J32" s="96" t="s">
        <v>535</v>
      </c>
      <c r="K32" s="93" t="s">
        <v>511</v>
      </c>
      <c r="L32" s="29" t="s">
        <v>425</v>
      </c>
      <c r="M32" s="27">
        <f t="shared" si="1"/>
        <v>650</v>
      </c>
      <c r="N32" s="30"/>
      <c r="O32" s="31" t="s">
        <v>238</v>
      </c>
    </row>
    <row r="33" spans="1:20">
      <c r="A33" s="19" t="s">
        <v>102</v>
      </c>
      <c r="B33" s="19" t="s">
        <v>488</v>
      </c>
      <c r="C33" s="24" t="s">
        <v>101</v>
      </c>
      <c r="D33" s="33"/>
      <c r="E33" s="26">
        <v>10100</v>
      </c>
      <c r="F33" s="26">
        <v>165.00000000000128</v>
      </c>
      <c r="G33" s="27">
        <f>APR!M33</f>
        <v>-170</v>
      </c>
      <c r="H33" s="27">
        <f t="shared" si="0"/>
        <v>10095.000000000002</v>
      </c>
      <c r="I33" s="26">
        <v>10250</v>
      </c>
      <c r="J33" s="93" t="s">
        <v>489</v>
      </c>
      <c r="K33" s="94" t="s">
        <v>490</v>
      </c>
      <c r="L33" s="29" t="s">
        <v>425</v>
      </c>
      <c r="M33" s="27">
        <f t="shared" si="1"/>
        <v>-154.99999999999818</v>
      </c>
      <c r="N33" s="30"/>
      <c r="O33" s="31" t="s">
        <v>238</v>
      </c>
    </row>
    <row r="34" spans="1:20">
      <c r="A34" s="19" t="s">
        <v>105</v>
      </c>
      <c r="B34" s="19" t="s">
        <v>103</v>
      </c>
      <c r="C34" s="24" t="s">
        <v>104</v>
      </c>
      <c r="D34" s="33"/>
      <c r="E34" s="26">
        <v>10100</v>
      </c>
      <c r="F34" s="26">
        <v>194.99999999999957</v>
      </c>
      <c r="G34" s="27">
        <f>APR!M34</f>
        <v>100.00000000000182</v>
      </c>
      <c r="H34" s="27">
        <f t="shared" si="0"/>
        <v>10395.000000000002</v>
      </c>
      <c r="I34" s="26">
        <v>10295</v>
      </c>
      <c r="J34" s="93" t="s">
        <v>503</v>
      </c>
      <c r="K34" s="93" t="s">
        <v>504</v>
      </c>
      <c r="L34" s="29" t="s">
        <v>425</v>
      </c>
      <c r="M34" s="27">
        <f t="shared" si="1"/>
        <v>100.00000000000182</v>
      </c>
      <c r="N34" s="30"/>
      <c r="O34" s="31"/>
    </row>
    <row r="35" spans="1:20">
      <c r="A35" s="19" t="s">
        <v>108</v>
      </c>
      <c r="B35" s="19" t="s">
        <v>106</v>
      </c>
      <c r="C35" s="24" t="s">
        <v>107</v>
      </c>
      <c r="D35" s="33"/>
      <c r="E35" s="26">
        <v>10100</v>
      </c>
      <c r="F35" s="26">
        <v>119.99999999999744</v>
      </c>
      <c r="G35" s="27">
        <f>APR!M35</f>
        <v>-10430</v>
      </c>
      <c r="H35" s="27">
        <f t="shared" si="0"/>
        <v>-210.00000000000256</v>
      </c>
      <c r="I35" s="26"/>
      <c r="J35" s="93"/>
      <c r="K35" s="93"/>
      <c r="L35" s="29" t="s">
        <v>425</v>
      </c>
      <c r="M35" s="27">
        <f t="shared" si="1"/>
        <v>-210.00000000000256</v>
      </c>
      <c r="N35" s="30"/>
      <c r="O35" s="31"/>
    </row>
    <row r="36" spans="1:20">
      <c r="A36" s="19" t="s">
        <v>111</v>
      </c>
      <c r="B36" s="19" t="s">
        <v>109</v>
      </c>
      <c r="C36" s="24" t="s">
        <v>110</v>
      </c>
      <c r="D36" s="33"/>
      <c r="E36" s="26">
        <v>10100</v>
      </c>
      <c r="F36" s="26">
        <v>44.999999999997442</v>
      </c>
      <c r="G36" s="27">
        <f>APR!M36</f>
        <v>-10204.999999999998</v>
      </c>
      <c r="H36" s="27">
        <f t="shared" si="0"/>
        <v>-60.000000000000739</v>
      </c>
      <c r="I36" s="26">
        <v>10300</v>
      </c>
      <c r="J36" s="93" t="s">
        <v>443</v>
      </c>
      <c r="K36" s="94" t="s">
        <v>444</v>
      </c>
      <c r="L36" s="29" t="s">
        <v>425</v>
      </c>
      <c r="M36" s="27">
        <f t="shared" si="1"/>
        <v>-10360</v>
      </c>
      <c r="N36" s="30"/>
      <c r="O36" s="31"/>
    </row>
    <row r="37" spans="1:20">
      <c r="A37" s="19" t="s">
        <v>114</v>
      </c>
      <c r="B37" s="19" t="s">
        <v>112</v>
      </c>
      <c r="C37" s="24" t="s">
        <v>113</v>
      </c>
      <c r="D37" s="33"/>
      <c r="E37" s="26">
        <v>10100</v>
      </c>
      <c r="F37" s="26">
        <v>240.00000000000341</v>
      </c>
      <c r="G37" s="27">
        <f>APR!M37</f>
        <v>-25.000000000001819</v>
      </c>
      <c r="H37" s="27">
        <f t="shared" si="0"/>
        <v>10315.000000000002</v>
      </c>
      <c r="I37" s="26">
        <v>10340</v>
      </c>
      <c r="J37" s="93" t="s">
        <v>522</v>
      </c>
      <c r="K37" s="93" t="s">
        <v>482</v>
      </c>
      <c r="L37" s="29" t="s">
        <v>425</v>
      </c>
      <c r="M37" s="27">
        <f t="shared" si="1"/>
        <v>-24.999999999998181</v>
      </c>
      <c r="N37" s="30"/>
      <c r="O37" s="31"/>
    </row>
    <row r="38" spans="1:20">
      <c r="A38" s="19" t="s">
        <v>117</v>
      </c>
      <c r="B38" s="19" t="s">
        <v>115</v>
      </c>
      <c r="C38" s="24" t="s">
        <v>116</v>
      </c>
      <c r="D38" s="33"/>
      <c r="E38" s="26">
        <v>10100</v>
      </c>
      <c r="F38" s="26">
        <v>195.00000000000171</v>
      </c>
      <c r="G38" s="27">
        <f>APR!M38</f>
        <v>314.99999999999915</v>
      </c>
      <c r="H38" s="27">
        <f t="shared" si="0"/>
        <v>10610.000000000002</v>
      </c>
      <c r="I38" s="26">
        <v>10415</v>
      </c>
      <c r="J38" s="93" t="s">
        <v>491</v>
      </c>
      <c r="K38" s="93" t="s">
        <v>492</v>
      </c>
      <c r="L38" s="29" t="s">
        <v>425</v>
      </c>
      <c r="M38" s="27">
        <f t="shared" si="1"/>
        <v>195.00000000000182</v>
      </c>
      <c r="N38" s="30"/>
      <c r="O38" s="31"/>
    </row>
    <row r="39" spans="1:20">
      <c r="A39" s="19" t="s">
        <v>120</v>
      </c>
      <c r="B39" s="19" t="s">
        <v>118</v>
      </c>
      <c r="C39" s="24" t="s">
        <v>119</v>
      </c>
      <c r="D39" s="33"/>
      <c r="E39" s="26">
        <v>10100</v>
      </c>
      <c r="F39" s="26">
        <v>254.99999999999829</v>
      </c>
      <c r="G39" s="27">
        <f>APR!M39</f>
        <v>200</v>
      </c>
      <c r="H39" s="27">
        <f t="shared" si="0"/>
        <v>10554.999999999998</v>
      </c>
      <c r="I39" s="26">
        <v>10255</v>
      </c>
      <c r="J39" s="93" t="s">
        <v>531</v>
      </c>
      <c r="K39" s="94" t="s">
        <v>469</v>
      </c>
      <c r="L39" s="29" t="s">
        <v>425</v>
      </c>
      <c r="M39" s="27">
        <f t="shared" si="1"/>
        <v>299.99999999999818</v>
      </c>
      <c r="N39" s="30"/>
      <c r="O39" s="31" t="s">
        <v>238</v>
      </c>
      <c r="T39" t="s">
        <v>512</v>
      </c>
    </row>
    <row r="40" spans="1:20">
      <c r="A40" s="19" t="s">
        <v>122</v>
      </c>
      <c r="B40" s="19" t="s">
        <v>174</v>
      </c>
      <c r="C40" s="24" t="s">
        <v>493</v>
      </c>
      <c r="D40" s="33"/>
      <c r="E40" s="26">
        <v>10100</v>
      </c>
      <c r="F40" s="26">
        <v>1245.0000000000018</v>
      </c>
      <c r="G40" s="27">
        <f>APR!M40</f>
        <v>0</v>
      </c>
      <c r="H40" s="27">
        <f t="shared" si="0"/>
        <v>11345.000000000002</v>
      </c>
      <c r="I40" s="26">
        <f>10100+1245</f>
        <v>11345</v>
      </c>
      <c r="J40" s="93" t="s">
        <v>496</v>
      </c>
      <c r="K40" s="93" t="s">
        <v>492</v>
      </c>
      <c r="L40" s="29" t="s">
        <v>425</v>
      </c>
      <c r="M40" s="27">
        <f t="shared" si="1"/>
        <v>0</v>
      </c>
      <c r="N40" s="30"/>
      <c r="O40" s="31" t="s">
        <v>238</v>
      </c>
    </row>
    <row r="41" spans="1:20">
      <c r="A41" s="19" t="s">
        <v>123</v>
      </c>
      <c r="B41" s="19" t="s">
        <v>499</v>
      </c>
      <c r="C41" s="24"/>
      <c r="D41" s="33">
        <v>10000</v>
      </c>
      <c r="E41" s="26">
        <v>10100</v>
      </c>
      <c r="F41" s="26"/>
      <c r="G41" s="27">
        <f>APR!M41</f>
        <v>0</v>
      </c>
      <c r="H41" s="27">
        <f t="shared" si="0"/>
        <v>20100</v>
      </c>
      <c r="I41" s="26">
        <f>10000+5000</f>
        <v>15000</v>
      </c>
      <c r="J41" s="93" t="s">
        <v>536</v>
      </c>
      <c r="K41" s="93" t="s">
        <v>537</v>
      </c>
      <c r="L41" s="29" t="s">
        <v>425</v>
      </c>
      <c r="M41" s="27">
        <f t="shared" si="1"/>
        <v>5100</v>
      </c>
      <c r="N41" s="30" t="s">
        <v>517</v>
      </c>
      <c r="O41" s="31" t="s">
        <v>238</v>
      </c>
    </row>
    <row r="42" spans="1:20">
      <c r="A42" s="19" t="s">
        <v>126</v>
      </c>
      <c r="B42" s="19" t="s">
        <v>124</v>
      </c>
      <c r="C42" s="24" t="s">
        <v>125</v>
      </c>
      <c r="D42" s="33"/>
      <c r="E42" s="26">
        <v>10100</v>
      </c>
      <c r="F42" s="26">
        <v>375</v>
      </c>
      <c r="G42" s="27">
        <f>APR!M42</f>
        <v>-52</v>
      </c>
      <c r="H42" s="27">
        <f t="shared" si="0"/>
        <v>10423</v>
      </c>
      <c r="I42" s="26">
        <v>10375</v>
      </c>
      <c r="J42" s="93" t="s">
        <v>484</v>
      </c>
      <c r="K42" s="94" t="s">
        <v>472</v>
      </c>
      <c r="L42" s="29" t="s">
        <v>425</v>
      </c>
      <c r="M42" s="27">
        <f t="shared" si="1"/>
        <v>48</v>
      </c>
      <c r="N42" s="30"/>
      <c r="O42" s="31" t="s">
        <v>238</v>
      </c>
    </row>
    <row r="43" spans="1:20">
      <c r="A43" s="19" t="s">
        <v>127</v>
      </c>
      <c r="B43" s="19" t="s">
        <v>169</v>
      </c>
      <c r="C43" s="24" t="s">
        <v>170</v>
      </c>
      <c r="D43" s="33"/>
      <c r="E43" s="26">
        <v>10100</v>
      </c>
      <c r="F43" s="26">
        <v>89.999999999999147</v>
      </c>
      <c r="G43" s="27">
        <f>APR!M43</f>
        <v>15</v>
      </c>
      <c r="H43" s="27">
        <f t="shared" si="0"/>
        <v>10205</v>
      </c>
      <c r="I43" s="26">
        <v>10000</v>
      </c>
      <c r="J43" s="93" t="s">
        <v>458</v>
      </c>
      <c r="K43" s="93" t="s">
        <v>459</v>
      </c>
      <c r="L43" s="29" t="s">
        <v>425</v>
      </c>
      <c r="M43" s="27">
        <f t="shared" si="1"/>
        <v>205</v>
      </c>
      <c r="N43" s="30"/>
      <c r="O43" s="31" t="s">
        <v>238</v>
      </c>
    </row>
    <row r="44" spans="1:20">
      <c r="A44" s="19" t="s">
        <v>130</v>
      </c>
      <c r="B44" s="19" t="s">
        <v>128</v>
      </c>
      <c r="C44" s="24" t="s">
        <v>129</v>
      </c>
      <c r="D44" s="33"/>
      <c r="E44" s="26">
        <v>10100</v>
      </c>
      <c r="F44" s="26">
        <v>839.99999999999909</v>
      </c>
      <c r="G44" s="27">
        <f>APR!M44</f>
        <v>2669.0000000000009</v>
      </c>
      <c r="H44" s="27">
        <f t="shared" si="0"/>
        <v>13609</v>
      </c>
      <c r="I44" s="26">
        <v>14815</v>
      </c>
      <c r="J44" s="93" t="s">
        <v>533</v>
      </c>
      <c r="K44" s="93" t="s">
        <v>501</v>
      </c>
      <c r="L44" s="29" t="s">
        <v>425</v>
      </c>
      <c r="M44" s="27">
        <f t="shared" si="1"/>
        <v>-1206</v>
      </c>
      <c r="N44" s="30" t="s">
        <v>466</v>
      </c>
      <c r="O44" s="31" t="s">
        <v>238</v>
      </c>
    </row>
    <row r="45" spans="1:20">
      <c r="A45" s="19" t="s">
        <v>133</v>
      </c>
      <c r="B45" s="19" t="s">
        <v>300</v>
      </c>
      <c r="C45" s="24" t="s">
        <v>132</v>
      </c>
      <c r="D45" s="33"/>
      <c r="E45" s="26">
        <v>10100</v>
      </c>
      <c r="F45" s="26">
        <v>419.99999999999955</v>
      </c>
      <c r="G45" s="27">
        <f>APR!M45</f>
        <v>275.00000000000182</v>
      </c>
      <c r="H45" s="27">
        <f t="shared" si="0"/>
        <v>10795.000000000002</v>
      </c>
      <c r="I45" s="26">
        <f>16815+10510</f>
        <v>27325</v>
      </c>
      <c r="J45" s="93" t="s">
        <v>483</v>
      </c>
      <c r="K45" s="93" t="s">
        <v>577</v>
      </c>
      <c r="L45" s="29" t="s">
        <v>425</v>
      </c>
      <c r="M45" s="27">
        <f t="shared" si="1"/>
        <v>-16530</v>
      </c>
      <c r="N45" s="30"/>
      <c r="O45" s="31" t="s">
        <v>238</v>
      </c>
    </row>
    <row r="46" spans="1:20">
      <c r="A46" s="19" t="s">
        <v>136</v>
      </c>
      <c r="B46" s="19" t="s">
        <v>134</v>
      </c>
      <c r="C46" s="24" t="s">
        <v>135</v>
      </c>
      <c r="D46" s="33"/>
      <c r="E46" s="26">
        <v>10100</v>
      </c>
      <c r="F46" s="26">
        <v>764.99999999999909</v>
      </c>
      <c r="G46" s="27">
        <f>APR!M46</f>
        <v>-111</v>
      </c>
      <c r="H46" s="27">
        <f t="shared" si="0"/>
        <v>10754</v>
      </c>
      <c r="I46" s="26">
        <v>10865</v>
      </c>
      <c r="J46" s="93" t="s">
        <v>453</v>
      </c>
      <c r="K46" s="94" t="s">
        <v>452</v>
      </c>
      <c r="L46" s="29" t="s">
        <v>425</v>
      </c>
      <c r="M46" s="27">
        <f t="shared" si="1"/>
        <v>-111</v>
      </c>
      <c r="N46" s="30"/>
      <c r="O46" s="31" t="s">
        <v>238</v>
      </c>
    </row>
    <row r="47" spans="1:20">
      <c r="A47" s="19" t="s">
        <v>139</v>
      </c>
      <c r="B47" s="19" t="s">
        <v>137</v>
      </c>
      <c r="C47" s="24" t="s">
        <v>138</v>
      </c>
      <c r="D47" s="33"/>
      <c r="E47" s="26">
        <v>10100</v>
      </c>
      <c r="F47" s="26">
        <v>59.999999999999787</v>
      </c>
      <c r="G47" s="27">
        <f>APR!M47</f>
        <v>0</v>
      </c>
      <c r="H47" s="27">
        <f t="shared" si="0"/>
        <v>10160</v>
      </c>
      <c r="I47" s="26">
        <v>10100</v>
      </c>
      <c r="J47" s="93" t="s">
        <v>428</v>
      </c>
      <c r="K47" s="94">
        <v>46147</v>
      </c>
      <c r="L47" s="29" t="s">
        <v>425</v>
      </c>
      <c r="M47" s="27">
        <f t="shared" si="1"/>
        <v>60</v>
      </c>
      <c r="N47" s="30"/>
      <c r="O47" s="31"/>
    </row>
    <row r="48" spans="1:20">
      <c r="A48" s="19" t="s">
        <v>142</v>
      </c>
      <c r="B48" s="19" t="s">
        <v>140</v>
      </c>
      <c r="C48" s="24" t="s">
        <v>293</v>
      </c>
      <c r="D48" s="33"/>
      <c r="E48" s="26">
        <v>10100</v>
      </c>
      <c r="F48" s="26">
        <v>105.00000000000256</v>
      </c>
      <c r="G48" s="27">
        <f>APR!M48</f>
        <v>50</v>
      </c>
      <c r="H48" s="27">
        <f t="shared" si="0"/>
        <v>10255.000000000002</v>
      </c>
      <c r="I48" s="26">
        <v>10205</v>
      </c>
      <c r="J48" s="93" t="s">
        <v>456</v>
      </c>
      <c r="K48" s="93" t="s">
        <v>457</v>
      </c>
      <c r="L48" s="29" t="s">
        <v>425</v>
      </c>
      <c r="M48" s="27">
        <f t="shared" si="1"/>
        <v>50.000000000001819</v>
      </c>
      <c r="N48" s="30"/>
      <c r="O48" s="31" t="s">
        <v>238</v>
      </c>
    </row>
    <row r="49" spans="1:15">
      <c r="A49" s="19" t="s">
        <v>145</v>
      </c>
      <c r="B49" s="19" t="s">
        <v>143</v>
      </c>
      <c r="C49" s="24" t="s">
        <v>144</v>
      </c>
      <c r="D49" s="33"/>
      <c r="E49" s="26">
        <v>10100</v>
      </c>
      <c r="F49" s="26">
        <v>300</v>
      </c>
      <c r="G49" s="27">
        <f>APR!M49</f>
        <v>-125</v>
      </c>
      <c r="H49" s="27">
        <f t="shared" si="0"/>
        <v>10275</v>
      </c>
      <c r="I49" s="26">
        <v>10100</v>
      </c>
      <c r="J49" s="93" t="s">
        <v>594</v>
      </c>
      <c r="K49" s="94">
        <v>46331</v>
      </c>
      <c r="L49" s="29" t="s">
        <v>425</v>
      </c>
      <c r="M49" s="27">
        <f t="shared" si="1"/>
        <v>175</v>
      </c>
      <c r="N49" s="30"/>
      <c r="O49" s="31"/>
    </row>
    <row r="50" spans="1:15">
      <c r="A50" s="19" t="s">
        <v>148</v>
      </c>
      <c r="B50" s="19" t="s">
        <v>146</v>
      </c>
      <c r="C50" s="24" t="s">
        <v>147</v>
      </c>
      <c r="D50" s="33"/>
      <c r="E50" s="26">
        <v>10100</v>
      </c>
      <c r="F50" s="26">
        <v>165.00000000000023</v>
      </c>
      <c r="G50" s="27">
        <f>APR!M50</f>
        <v>0</v>
      </c>
      <c r="H50" s="27">
        <f t="shared" si="0"/>
        <v>10265</v>
      </c>
      <c r="I50" s="26">
        <v>10265</v>
      </c>
      <c r="J50" s="93" t="s">
        <v>461</v>
      </c>
      <c r="K50" s="93" t="s">
        <v>462</v>
      </c>
      <c r="L50" s="29" t="s">
        <v>425</v>
      </c>
      <c r="M50" s="27">
        <f t="shared" si="1"/>
        <v>0</v>
      </c>
      <c r="N50" s="30"/>
      <c r="O50" s="31"/>
    </row>
    <row r="51" spans="1:15">
      <c r="A51" s="19" t="s">
        <v>156</v>
      </c>
      <c r="B51" s="19" t="s">
        <v>159</v>
      </c>
      <c r="C51" s="24" t="s">
        <v>285</v>
      </c>
      <c r="D51" s="33"/>
      <c r="E51" s="26">
        <v>10100</v>
      </c>
      <c r="F51" s="26">
        <v>329.99999999999829</v>
      </c>
      <c r="G51" s="27">
        <f>APR!M51</f>
        <v>-40</v>
      </c>
      <c r="H51" s="27">
        <f t="shared" si="0"/>
        <v>10389.999999999998</v>
      </c>
      <c r="I51" s="26">
        <v>10430</v>
      </c>
      <c r="J51" s="93" t="s">
        <v>447</v>
      </c>
      <c r="K51" s="94" t="s">
        <v>446</v>
      </c>
      <c r="L51" s="29" t="s">
        <v>425</v>
      </c>
      <c r="M51" s="27">
        <f t="shared" si="1"/>
        <v>-40.000000000001819</v>
      </c>
      <c r="N51" s="30"/>
      <c r="O51" s="31" t="s">
        <v>238</v>
      </c>
    </row>
    <row r="52" spans="1:15">
      <c r="A52" s="19" t="s">
        <v>157</v>
      </c>
      <c r="B52" s="19" t="s">
        <v>149</v>
      </c>
      <c r="C52" s="24" t="s">
        <v>150</v>
      </c>
      <c r="D52" s="33"/>
      <c r="E52" s="26">
        <v>10100</v>
      </c>
      <c r="F52" s="26">
        <v>0</v>
      </c>
      <c r="G52" s="27">
        <f>APR!M52</f>
        <v>30</v>
      </c>
      <c r="H52" s="27">
        <f t="shared" si="0"/>
        <v>10130</v>
      </c>
      <c r="I52" s="26">
        <v>10100</v>
      </c>
      <c r="J52" s="93" t="s">
        <v>463</v>
      </c>
      <c r="K52" s="93" t="s">
        <v>464</v>
      </c>
      <c r="L52" s="29" t="s">
        <v>425</v>
      </c>
      <c r="M52" s="27">
        <f t="shared" si="1"/>
        <v>30</v>
      </c>
      <c r="N52" s="30"/>
      <c r="O52" s="31"/>
    </row>
    <row r="53" spans="1:15">
      <c r="A53" s="19" t="s">
        <v>158</v>
      </c>
      <c r="B53" s="79" t="s">
        <v>160</v>
      </c>
      <c r="C53" s="88" t="s">
        <v>311</v>
      </c>
      <c r="D53" s="33"/>
      <c r="E53" s="26">
        <v>10100</v>
      </c>
      <c r="F53" s="26">
        <v>300</v>
      </c>
      <c r="G53" s="27">
        <f>APR!M53</f>
        <v>-230.00000000000182</v>
      </c>
      <c r="H53" s="27">
        <f t="shared" si="0"/>
        <v>10169.999999999998</v>
      </c>
      <c r="I53" s="26">
        <v>10400</v>
      </c>
      <c r="J53" s="93" t="s">
        <v>481</v>
      </c>
      <c r="K53" s="94" t="s">
        <v>482</v>
      </c>
      <c r="L53" s="29" t="s">
        <v>425</v>
      </c>
      <c r="M53" s="27">
        <f t="shared" si="1"/>
        <v>-230.00000000000182</v>
      </c>
      <c r="N53" s="30"/>
      <c r="O53" s="31"/>
    </row>
    <row r="54" spans="1:15">
      <c r="A54" s="19" t="s">
        <v>151</v>
      </c>
      <c r="B54" s="19" t="s">
        <v>152</v>
      </c>
      <c r="C54" s="24" t="s">
        <v>153</v>
      </c>
      <c r="D54" s="33"/>
      <c r="E54" s="26">
        <v>10100</v>
      </c>
      <c r="F54" s="26">
        <v>330.00000000000256</v>
      </c>
      <c r="G54" s="27">
        <f>APR!M54</f>
        <v>-80.000000000001819</v>
      </c>
      <c r="H54" s="27">
        <f t="shared" si="0"/>
        <v>10350</v>
      </c>
      <c r="I54" s="26">
        <v>10430</v>
      </c>
      <c r="J54" s="93" t="s">
        <v>451</v>
      </c>
      <c r="K54" s="93" t="s">
        <v>449</v>
      </c>
      <c r="L54" s="29" t="s">
        <v>425</v>
      </c>
      <c r="M54" s="27">
        <f t="shared" si="1"/>
        <v>-80</v>
      </c>
      <c r="N54" s="30"/>
      <c r="O54" s="31" t="s">
        <v>238</v>
      </c>
    </row>
    <row r="55" spans="1:15">
      <c r="A55" s="19" t="s">
        <v>161</v>
      </c>
      <c r="B55" s="19" t="s">
        <v>154</v>
      </c>
      <c r="C55" s="24" t="s">
        <v>155</v>
      </c>
      <c r="D55" s="33"/>
      <c r="E55" s="26">
        <v>10100</v>
      </c>
      <c r="F55" s="26">
        <v>285.00000000000085</v>
      </c>
      <c r="G55" s="27">
        <f>APR!M55</f>
        <v>550</v>
      </c>
      <c r="H55" s="27">
        <f t="shared" si="0"/>
        <v>10935</v>
      </c>
      <c r="I55" s="26">
        <v>10300</v>
      </c>
      <c r="J55" s="93" t="s">
        <v>485</v>
      </c>
      <c r="K55" s="93" t="s">
        <v>486</v>
      </c>
      <c r="L55" s="29" t="s">
        <v>425</v>
      </c>
      <c r="M55" s="27">
        <f t="shared" si="1"/>
        <v>635</v>
      </c>
      <c r="N55" s="30"/>
      <c r="O55" s="31" t="s">
        <v>238</v>
      </c>
    </row>
    <row r="56" spans="1:15">
      <c r="A56" s="19" t="s">
        <v>162</v>
      </c>
      <c r="B56" s="19" t="s">
        <v>273</v>
      </c>
      <c r="C56" s="24" t="s">
        <v>272</v>
      </c>
      <c r="D56" s="33"/>
      <c r="E56" s="26">
        <v>9600</v>
      </c>
      <c r="F56" s="26">
        <v>255.00000000000043</v>
      </c>
      <c r="G56" s="27">
        <f>APR!M56</f>
        <v>-9884.9999999999982</v>
      </c>
      <c r="H56" s="27">
        <f t="shared" si="0"/>
        <v>-29.999999999997755</v>
      </c>
      <c r="I56" s="26"/>
      <c r="J56" s="93"/>
      <c r="K56" s="93"/>
      <c r="L56" s="29" t="s">
        <v>425</v>
      </c>
      <c r="M56" s="27">
        <f t="shared" si="1"/>
        <v>-29.999999999997755</v>
      </c>
      <c r="N56" s="30"/>
      <c r="O56" s="31" t="s">
        <v>238</v>
      </c>
    </row>
    <row r="57" spans="1:15">
      <c r="A57" s="52" t="s">
        <v>25</v>
      </c>
      <c r="B57" s="19"/>
      <c r="C57" s="53"/>
      <c r="D57" s="54"/>
      <c r="E57" s="54">
        <f>SUM(E9:E56)</f>
        <v>480200</v>
      </c>
      <c r="F57" s="54">
        <f>SUM(F9:F56)</f>
        <v>16230.000000000013</v>
      </c>
      <c r="G57" s="54">
        <f>SUM(G9:G56)</f>
        <v>-48143.000000000007</v>
      </c>
      <c r="H57" s="54">
        <f>SUM(H9:H56)</f>
        <v>473287</v>
      </c>
      <c r="I57" s="54">
        <f>SUM(I9:I56)</f>
        <v>513425</v>
      </c>
      <c r="J57" s="54"/>
      <c r="K57" s="54"/>
      <c r="L57" s="54"/>
      <c r="M57" s="54">
        <f>SUM(M9:M56)</f>
        <v>-40138</v>
      </c>
      <c r="N57" s="55"/>
      <c r="O57" s="55"/>
    </row>
    <row r="58" spans="1:15">
      <c r="A58" s="12"/>
      <c r="B58" s="19"/>
      <c r="C58" s="53"/>
      <c r="D58" s="56"/>
      <c r="E58" s="57"/>
      <c r="F58" s="57"/>
      <c r="G58" s="58"/>
      <c r="H58" s="57"/>
      <c r="I58" s="57"/>
      <c r="J58" s="12"/>
      <c r="K58" s="12"/>
      <c r="L58" s="12"/>
      <c r="M58" s="57"/>
      <c r="N58" s="57"/>
      <c r="O58" s="57"/>
    </row>
    <row r="59" spans="1:15">
      <c r="A59" s="59" t="s">
        <v>26</v>
      </c>
      <c r="B59" s="19"/>
      <c r="C59" s="53"/>
      <c r="D59" s="56"/>
      <c r="E59" s="57"/>
      <c r="F59" s="57"/>
      <c r="G59" s="58"/>
      <c r="H59" s="57"/>
      <c r="I59" s="57"/>
      <c r="J59" s="12"/>
      <c r="K59" s="12"/>
      <c r="L59" s="12"/>
      <c r="M59" s="57"/>
      <c r="N59" s="57"/>
      <c r="O59" s="57"/>
    </row>
    <row r="60" spans="1:15">
      <c r="A60" s="19" t="s">
        <v>27</v>
      </c>
      <c r="B60" s="19"/>
      <c r="C60" s="53"/>
      <c r="D60" s="19"/>
      <c r="E60" s="19"/>
      <c r="F60" s="19"/>
      <c r="G60" s="20"/>
      <c r="H60" s="19"/>
      <c r="I60" s="60">
        <f>6%*I57</f>
        <v>30805.5</v>
      </c>
      <c r="J60" s="19"/>
      <c r="K60" s="19"/>
      <c r="L60" s="19"/>
      <c r="M60" s="19"/>
      <c r="N60" s="15"/>
      <c r="O60" s="19"/>
    </row>
    <row r="61" spans="1:15">
      <c r="A61" s="19" t="s">
        <v>513</v>
      </c>
      <c r="B61" s="19"/>
      <c r="C61" s="53"/>
      <c r="D61" s="19"/>
      <c r="E61" s="19"/>
      <c r="F61" s="19"/>
      <c r="G61" s="20"/>
      <c r="H61" s="19"/>
      <c r="I61" s="60">
        <f>1500+600</f>
        <v>2100</v>
      </c>
      <c r="J61" s="19"/>
      <c r="K61" s="19"/>
      <c r="L61" s="19"/>
      <c r="M61" s="19"/>
      <c r="N61" s="15"/>
      <c r="O61" s="19"/>
    </row>
    <row r="62" spans="1:15" ht="16.5">
      <c r="A62" s="15" t="s">
        <v>28</v>
      </c>
      <c r="B62" s="15"/>
      <c r="C62" s="15"/>
      <c r="D62" s="15"/>
      <c r="E62" s="15"/>
      <c r="F62" s="15"/>
      <c r="G62" s="61"/>
      <c r="H62" s="15"/>
      <c r="I62" s="62">
        <f>SUM(I60:I61)</f>
        <v>32905.5</v>
      </c>
      <c r="J62" s="15"/>
      <c r="K62" s="15"/>
      <c r="L62" s="19"/>
      <c r="M62" s="15"/>
      <c r="N62" s="15"/>
      <c r="O62" s="15"/>
    </row>
    <row r="63" spans="1:15">
      <c r="A63" s="15"/>
      <c r="B63" s="15"/>
      <c r="C63" s="15"/>
      <c r="D63" s="15"/>
      <c r="E63" s="15"/>
      <c r="F63" s="15"/>
      <c r="G63" s="61"/>
      <c r="H63" s="15"/>
      <c r="I63" s="63"/>
      <c r="J63" s="15"/>
      <c r="K63" s="15"/>
      <c r="L63" s="15"/>
      <c r="M63" s="15"/>
      <c r="N63" s="15"/>
      <c r="O63" s="15"/>
    </row>
    <row r="64" spans="1:15">
      <c r="A64" s="2" t="s">
        <v>29</v>
      </c>
      <c r="B64" s="2"/>
      <c r="C64" s="2"/>
      <c r="D64" s="2"/>
      <c r="E64" s="2"/>
      <c r="F64" s="2"/>
      <c r="G64" s="64"/>
      <c r="H64" s="2"/>
      <c r="I64" s="47"/>
      <c r="J64" s="65" t="s">
        <v>30</v>
      </c>
      <c r="K64" s="65"/>
      <c r="L64" s="65" t="s">
        <v>30</v>
      </c>
      <c r="M64" s="66" t="s">
        <v>31</v>
      </c>
    </row>
    <row r="65" spans="1:15" ht="15.75" thickBot="1">
      <c r="A65" s="1" t="s">
        <v>32</v>
      </c>
      <c r="B65" s="1"/>
      <c r="C65" s="1"/>
      <c r="D65" s="1"/>
      <c r="E65" s="1"/>
      <c r="F65" s="1"/>
      <c r="G65" s="67"/>
      <c r="H65" s="68"/>
      <c r="I65" s="69">
        <f>I62</f>
        <v>32905.5</v>
      </c>
      <c r="J65" s="70"/>
      <c r="K65" s="70"/>
      <c r="L65" s="71"/>
      <c r="M65" s="72">
        <f>I65-J65-L65</f>
        <v>32905.5</v>
      </c>
    </row>
    <row r="66" spans="1:15" ht="15.75" thickTop="1">
      <c r="A66" s="1"/>
      <c r="B66" s="2"/>
      <c r="C66" s="2"/>
      <c r="D66" s="68"/>
      <c r="E66" s="68"/>
      <c r="F66" s="68"/>
      <c r="G66" s="70"/>
      <c r="H66" s="2"/>
      <c r="I66" s="73"/>
      <c r="J66" s="19"/>
      <c r="K66" s="19"/>
      <c r="L66" s="2"/>
      <c r="M66" s="19"/>
      <c r="N66" s="2"/>
      <c r="O66" s="68"/>
    </row>
    <row r="67" spans="1:15">
      <c r="A67" s="2" t="s">
        <v>33</v>
      </c>
      <c r="B67" s="2"/>
      <c r="C67" s="2"/>
      <c r="D67" s="2"/>
      <c r="E67" s="2"/>
      <c r="F67" s="2"/>
      <c r="G67" s="64"/>
      <c r="H67" s="2"/>
      <c r="I67" s="27"/>
      <c r="J67" s="19"/>
      <c r="K67" s="19"/>
      <c r="L67" s="2"/>
      <c r="M67" s="74">
        <v>46173</v>
      </c>
      <c r="N67" s="75"/>
      <c r="O67" s="76"/>
    </row>
    <row r="68" spans="1:15">
      <c r="A68" s="44"/>
      <c r="B68" s="44"/>
      <c r="C68" s="44"/>
      <c r="D68" s="44"/>
      <c r="E68" s="44"/>
      <c r="F68" s="44"/>
      <c r="G68" s="44"/>
      <c r="H68" s="44"/>
      <c r="L68" s="44"/>
      <c r="N68" s="44"/>
      <c r="O68" s="44"/>
    </row>
    <row r="69" spans="1:15" s="44" customFormat="1">
      <c r="I69"/>
      <c r="J69"/>
      <c r="K69"/>
      <c r="M69"/>
    </row>
    <row r="70" spans="1:15">
      <c r="A70" s="44"/>
      <c r="B70" s="44"/>
      <c r="C70" s="44"/>
      <c r="D70" s="44"/>
      <c r="E70" s="44"/>
      <c r="F70" s="44"/>
      <c r="G70" s="44"/>
      <c r="H70" s="44"/>
      <c r="L70" s="44"/>
      <c r="N70" s="44"/>
      <c r="O70" s="44"/>
    </row>
    <row r="71" spans="1:15">
      <c r="E71">
        <f>I57/H57*100</f>
        <v>108.48068930691103</v>
      </c>
    </row>
  </sheetData>
  <mergeCells count="1">
    <mergeCell ref="A3:M3"/>
  </mergeCells>
  <pageMargins left="0.25" right="0.25" top="0.75" bottom="0.75" header="0.3" footer="0.3"/>
  <pageSetup scale="24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3CED-C704-403D-B69E-FF73F4C86A3E}">
  <sheetPr>
    <pageSetUpPr fitToPage="1"/>
  </sheetPr>
  <dimension ref="A1:T70"/>
  <sheetViews>
    <sheetView topLeftCell="A31" zoomScale="93" zoomScaleNormal="93" workbookViewId="0">
      <selection activeCell="A36" sqref="A36:XFD36"/>
    </sheetView>
  </sheetViews>
  <sheetFormatPr defaultColWidth="9" defaultRowHeight="15"/>
  <cols>
    <col min="2" max="2" width="15.28515625" customWidth="1"/>
    <col min="3" max="3" width="14.85546875" customWidth="1"/>
    <col min="5" max="6" width="9.7109375" customWidth="1"/>
    <col min="7" max="7" width="9.42578125" customWidth="1"/>
    <col min="8" max="8" width="10" customWidth="1"/>
    <col min="9" max="9" width="11.28515625" customWidth="1"/>
    <col min="10" max="10" width="33.28515625" customWidth="1"/>
    <col min="11" max="11" width="21.28515625" customWidth="1"/>
    <col min="12" max="12" width="8.28515625" customWidth="1"/>
    <col min="13" max="13" width="13.7109375" customWidth="1"/>
    <col min="14" max="14" width="15.140625" customWidth="1"/>
    <col min="15" max="15" width="12.7109375" customWidth="1"/>
    <col min="16" max="18" width="0" hidden="1" customWidth="1"/>
  </cols>
  <sheetData>
    <row r="1" spans="1:15">
      <c r="A1" s="1"/>
      <c r="B1" s="2"/>
      <c r="C1" s="3" t="s">
        <v>0</v>
      </c>
      <c r="D1" s="4"/>
      <c r="E1" s="2"/>
      <c r="F1" s="2"/>
      <c r="G1" s="5"/>
      <c r="H1" s="6"/>
      <c r="I1" s="7"/>
      <c r="J1" s="8"/>
      <c r="K1" s="8"/>
      <c r="L1" s="9"/>
      <c r="M1" s="10"/>
      <c r="N1" s="11"/>
      <c r="O1" s="11"/>
    </row>
    <row r="2" spans="1:15">
      <c r="A2" s="1" t="s">
        <v>1</v>
      </c>
      <c r="B2" s="1"/>
      <c r="C2" s="1"/>
      <c r="D2" s="1"/>
      <c r="E2" s="6"/>
      <c r="F2" s="6"/>
      <c r="G2" s="5"/>
      <c r="H2" s="6"/>
      <c r="I2" s="7"/>
      <c r="J2" s="8"/>
      <c r="K2" s="8"/>
      <c r="L2" s="9"/>
      <c r="M2" s="10"/>
      <c r="N2" s="11"/>
      <c r="O2" s="11"/>
    </row>
    <row r="3" spans="1:15">
      <c r="A3" s="104" t="s">
        <v>519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"/>
      <c r="O3" s="1"/>
    </row>
    <row r="4" spans="1:15">
      <c r="A4" s="12"/>
      <c r="B4" s="12"/>
      <c r="C4" s="12"/>
      <c r="D4" s="7"/>
      <c r="E4" s="7"/>
      <c r="F4" s="7"/>
      <c r="G4" s="13"/>
      <c r="H4" s="7"/>
      <c r="I4" s="7"/>
      <c r="J4" s="8" t="s">
        <v>3</v>
      </c>
      <c r="K4" s="8"/>
      <c r="L4" s="8"/>
      <c r="M4" s="14"/>
      <c r="N4" s="14"/>
      <c r="O4" s="14"/>
    </row>
    <row r="5" spans="1:15">
      <c r="A5" s="15" t="s">
        <v>34</v>
      </c>
      <c r="B5" s="15"/>
      <c r="C5" s="15"/>
      <c r="D5" s="14"/>
      <c r="E5" s="14"/>
      <c r="F5" s="14"/>
      <c r="G5" s="16"/>
      <c r="H5" s="14"/>
      <c r="I5" s="14"/>
      <c r="J5" s="17" t="s">
        <v>4</v>
      </c>
      <c r="K5" s="17"/>
      <c r="L5" s="17"/>
      <c r="M5" s="14"/>
      <c r="N5" s="14"/>
      <c r="O5" s="14"/>
    </row>
    <row r="6" spans="1:15">
      <c r="A6" s="15" t="s">
        <v>5</v>
      </c>
      <c r="B6" s="18"/>
      <c r="C6" s="15"/>
      <c r="D6" s="19"/>
      <c r="E6" s="19"/>
      <c r="F6" s="19"/>
      <c r="G6" s="20"/>
      <c r="H6" s="19"/>
      <c r="I6" s="14" t="s">
        <v>6</v>
      </c>
      <c r="J6" s="17" t="s">
        <v>197</v>
      </c>
      <c r="K6" s="17"/>
      <c r="L6" s="17"/>
      <c r="M6" s="14"/>
      <c r="N6" s="14"/>
      <c r="O6" s="14"/>
    </row>
    <row r="7" spans="1:15">
      <c r="A7" s="15"/>
      <c r="B7" s="15"/>
      <c r="C7" s="15"/>
      <c r="D7" s="19"/>
      <c r="E7" s="19"/>
      <c r="F7" s="19"/>
      <c r="G7" s="20"/>
      <c r="H7" s="19"/>
      <c r="I7" s="14" t="s">
        <v>7</v>
      </c>
      <c r="J7" s="78" t="s">
        <v>198</v>
      </c>
      <c r="K7" s="78"/>
      <c r="L7" s="17"/>
      <c r="M7" s="14"/>
      <c r="N7" s="14"/>
      <c r="O7" s="14"/>
    </row>
    <row r="8" spans="1:15" ht="24.75">
      <c r="A8" s="12" t="s">
        <v>8</v>
      </c>
      <c r="B8" s="12" t="s">
        <v>9</v>
      </c>
      <c r="C8" s="12" t="s">
        <v>10</v>
      </c>
      <c r="D8" s="21" t="s">
        <v>11</v>
      </c>
      <c r="E8" s="22" t="s">
        <v>12</v>
      </c>
      <c r="F8" s="22" t="s">
        <v>163</v>
      </c>
      <c r="G8" s="13" t="s">
        <v>13</v>
      </c>
      <c r="H8" s="23" t="s">
        <v>14</v>
      </c>
      <c r="I8" s="7" t="s">
        <v>15</v>
      </c>
      <c r="J8" s="12" t="s">
        <v>16</v>
      </c>
      <c r="K8" s="12" t="s">
        <v>207</v>
      </c>
      <c r="L8" s="12" t="s">
        <v>17</v>
      </c>
      <c r="M8" s="7" t="s">
        <v>18</v>
      </c>
      <c r="N8" s="7" t="s">
        <v>19</v>
      </c>
      <c r="O8" s="7" t="s">
        <v>20</v>
      </c>
    </row>
    <row r="9" spans="1:15">
      <c r="A9" s="19" t="s">
        <v>35</v>
      </c>
      <c r="B9" s="19" t="s">
        <v>45</v>
      </c>
      <c r="C9" s="24" t="s">
        <v>46</v>
      </c>
      <c r="D9" s="25"/>
      <c r="E9" s="26">
        <v>10100</v>
      </c>
      <c r="F9" s="26">
        <v>660.00000000000091</v>
      </c>
      <c r="G9" s="27">
        <f>MAY!M9</f>
        <v>0</v>
      </c>
      <c r="H9" s="27">
        <f>D9+E9+G9+F9</f>
        <v>10760</v>
      </c>
      <c r="I9" s="26">
        <v>10760</v>
      </c>
      <c r="J9" s="93" t="s">
        <v>527</v>
      </c>
      <c r="K9" s="94">
        <v>46118</v>
      </c>
      <c r="L9" s="29" t="s">
        <v>518</v>
      </c>
      <c r="M9" s="27">
        <f t="shared" ref="M9:M36" si="0">H9-I9</f>
        <v>0</v>
      </c>
      <c r="N9" s="30"/>
      <c r="O9" s="31"/>
    </row>
    <row r="10" spans="1:15">
      <c r="A10" s="32" t="s">
        <v>37</v>
      </c>
      <c r="B10" s="32" t="s">
        <v>47</v>
      </c>
      <c r="C10" s="24" t="s">
        <v>465</v>
      </c>
      <c r="D10" s="33"/>
      <c r="E10" s="26">
        <v>10100</v>
      </c>
      <c r="F10" s="26">
        <v>675</v>
      </c>
      <c r="G10" s="27">
        <f>MAY!M10</f>
        <v>-15.000000000001819</v>
      </c>
      <c r="H10" s="27">
        <f t="shared" ref="H10:H56" si="1">D10+E10+G10+F10</f>
        <v>10759.999999999998</v>
      </c>
      <c r="I10" s="26">
        <v>10775</v>
      </c>
      <c r="J10" s="93" t="s">
        <v>585</v>
      </c>
      <c r="K10" s="94">
        <v>46301</v>
      </c>
      <c r="L10" s="29" t="s">
        <v>518</v>
      </c>
      <c r="M10" s="27">
        <f t="shared" si="0"/>
        <v>-15.000000000001819</v>
      </c>
      <c r="N10" s="30"/>
      <c r="O10" s="31" t="s">
        <v>238</v>
      </c>
    </row>
    <row r="11" spans="1:15">
      <c r="A11" s="19" t="s">
        <v>36</v>
      </c>
      <c r="B11" s="32" t="s">
        <v>477</v>
      </c>
      <c r="C11" s="24" t="s">
        <v>284</v>
      </c>
      <c r="D11" s="34"/>
      <c r="E11" s="26">
        <v>10100</v>
      </c>
      <c r="F11" s="26">
        <v>300</v>
      </c>
      <c r="G11" s="27">
        <f>MAY!M11</f>
        <v>-9305</v>
      </c>
      <c r="H11" s="27">
        <f t="shared" si="1"/>
        <v>1095</v>
      </c>
      <c r="I11" s="26"/>
      <c r="J11" s="93"/>
      <c r="K11" s="93"/>
      <c r="L11" s="29" t="s">
        <v>518</v>
      </c>
      <c r="M11" s="27">
        <f t="shared" si="0"/>
        <v>1095</v>
      </c>
      <c r="N11" s="30"/>
      <c r="O11" s="31"/>
    </row>
    <row r="12" spans="1:15">
      <c r="A12" s="19" t="s">
        <v>38</v>
      </c>
      <c r="B12" s="19" t="s">
        <v>506</v>
      </c>
      <c r="C12" s="24" t="s">
        <v>507</v>
      </c>
      <c r="D12" s="34"/>
      <c r="E12" s="26">
        <v>10100</v>
      </c>
      <c r="F12" s="26">
        <v>255.00000000000043</v>
      </c>
      <c r="G12" s="27">
        <f>MAY!M12</f>
        <v>100</v>
      </c>
      <c r="H12" s="27">
        <f t="shared" si="1"/>
        <v>10455</v>
      </c>
      <c r="I12" s="26">
        <v>10000</v>
      </c>
      <c r="J12" s="93" t="s">
        <v>580</v>
      </c>
      <c r="K12" s="93" t="s">
        <v>581</v>
      </c>
      <c r="L12" s="29" t="s">
        <v>518</v>
      </c>
      <c r="M12" s="27">
        <f t="shared" si="0"/>
        <v>455</v>
      </c>
      <c r="N12" s="35"/>
      <c r="O12" s="31" t="s">
        <v>238</v>
      </c>
    </row>
    <row r="13" spans="1:15">
      <c r="A13" s="19" t="s">
        <v>39</v>
      </c>
      <c r="B13" s="32" t="s">
        <v>50</v>
      </c>
      <c r="C13" s="36" t="s">
        <v>51</v>
      </c>
      <c r="D13" s="33"/>
      <c r="E13" s="26">
        <v>10100</v>
      </c>
      <c r="F13" s="26">
        <v>735.00000000000091</v>
      </c>
      <c r="G13" s="27">
        <f>MAY!M13</f>
        <v>1274.9999999999982</v>
      </c>
      <c r="H13" s="27">
        <f t="shared" si="1"/>
        <v>12110</v>
      </c>
      <c r="I13" s="26">
        <v>10000</v>
      </c>
      <c r="J13" s="93" t="s">
        <v>557</v>
      </c>
      <c r="K13" s="93" t="s">
        <v>550</v>
      </c>
      <c r="L13" s="29" t="s">
        <v>518</v>
      </c>
      <c r="M13" s="27">
        <f t="shared" si="0"/>
        <v>2110</v>
      </c>
      <c r="N13" s="30"/>
      <c r="O13" s="31" t="s">
        <v>238</v>
      </c>
    </row>
    <row r="14" spans="1:15" ht="14.25" customHeight="1">
      <c r="A14" s="19" t="s">
        <v>40</v>
      </c>
      <c r="B14" s="19" t="s">
        <v>509</v>
      </c>
      <c r="C14" s="24" t="s">
        <v>558</v>
      </c>
      <c r="D14" s="34"/>
      <c r="E14" s="26">
        <v>10100</v>
      </c>
      <c r="F14" s="26">
        <v>719.99999999999955</v>
      </c>
      <c r="G14" s="27">
        <f>MAY!M14</f>
        <v>100</v>
      </c>
      <c r="H14" s="27">
        <f t="shared" si="1"/>
        <v>10920</v>
      </c>
      <c r="I14" s="26">
        <v>10000</v>
      </c>
      <c r="J14" s="95" t="s">
        <v>559</v>
      </c>
      <c r="K14" s="95" t="s">
        <v>550</v>
      </c>
      <c r="L14" s="29" t="s">
        <v>518</v>
      </c>
      <c r="M14" s="27">
        <f t="shared" si="0"/>
        <v>920</v>
      </c>
      <c r="N14" s="35"/>
      <c r="O14" s="31"/>
    </row>
    <row r="15" spans="1:15" s="44" customFormat="1">
      <c r="A15" s="38" t="s">
        <v>41</v>
      </c>
      <c r="B15" s="2" t="s">
        <v>467</v>
      </c>
      <c r="C15" s="39" t="s">
        <v>468</v>
      </c>
      <c r="D15" s="40"/>
      <c r="E15" s="41">
        <v>10100</v>
      </c>
      <c r="F15" s="41">
        <v>0</v>
      </c>
      <c r="G15" s="27">
        <f>MAY!M15</f>
        <v>-10250</v>
      </c>
      <c r="H15" s="27">
        <f t="shared" si="1"/>
        <v>-150</v>
      </c>
      <c r="I15" s="26">
        <v>10000</v>
      </c>
      <c r="J15" s="93" t="s">
        <v>591</v>
      </c>
      <c r="K15" s="94">
        <v>46148</v>
      </c>
      <c r="L15" s="29" t="s">
        <v>518</v>
      </c>
      <c r="M15" s="27">
        <f t="shared" si="0"/>
        <v>-10150</v>
      </c>
      <c r="N15" s="42"/>
      <c r="O15" s="43"/>
    </row>
    <row r="16" spans="1:15">
      <c r="A16" s="19" t="s">
        <v>42</v>
      </c>
      <c r="B16" s="19" t="s">
        <v>56</v>
      </c>
      <c r="C16" s="24" t="s">
        <v>470</v>
      </c>
      <c r="D16" s="34"/>
      <c r="E16" s="26">
        <v>12100</v>
      </c>
      <c r="F16" s="26">
        <v>1155.0000000000005</v>
      </c>
      <c r="G16" s="27">
        <f>MAY!M16</f>
        <v>10</v>
      </c>
      <c r="H16" s="27">
        <f t="shared" si="1"/>
        <v>13265</v>
      </c>
      <c r="I16" s="26">
        <v>13215</v>
      </c>
      <c r="J16" s="95" t="s">
        <v>555</v>
      </c>
      <c r="K16" s="95" t="s">
        <v>550</v>
      </c>
      <c r="L16" s="29" t="s">
        <v>518</v>
      </c>
      <c r="M16" s="27">
        <f t="shared" si="0"/>
        <v>50</v>
      </c>
      <c r="N16" s="15"/>
      <c r="O16" s="31" t="s">
        <v>238</v>
      </c>
    </row>
    <row r="17" spans="1:17">
      <c r="A17" s="19" t="s">
        <v>43</v>
      </c>
      <c r="B17" s="19" t="s">
        <v>58</v>
      </c>
      <c r="C17" s="24" t="s">
        <v>59</v>
      </c>
      <c r="D17" s="34"/>
      <c r="E17" s="26">
        <v>14100</v>
      </c>
      <c r="F17" s="26">
        <v>1500</v>
      </c>
      <c r="G17" s="27">
        <f>MAY!M17</f>
        <v>-5000</v>
      </c>
      <c r="H17" s="27">
        <f t="shared" si="1"/>
        <v>10600</v>
      </c>
      <c r="I17" s="26">
        <v>10600</v>
      </c>
      <c r="J17" s="93" t="s">
        <v>617</v>
      </c>
      <c r="K17" s="94">
        <v>46183</v>
      </c>
      <c r="L17" s="29" t="s">
        <v>518</v>
      </c>
      <c r="M17" s="27">
        <f t="shared" si="0"/>
        <v>0</v>
      </c>
      <c r="N17" s="30"/>
      <c r="O17" s="31"/>
    </row>
    <row r="18" spans="1:17">
      <c r="A18" s="19" t="s">
        <v>44</v>
      </c>
      <c r="B18" s="19" t="s">
        <v>60</v>
      </c>
      <c r="C18" s="24" t="s">
        <v>473</v>
      </c>
      <c r="D18" s="34"/>
      <c r="E18" s="26">
        <v>10100</v>
      </c>
      <c r="F18" s="26">
        <v>1064.9999999999991</v>
      </c>
      <c r="G18" s="27">
        <f>MAY!M18</f>
        <v>360</v>
      </c>
      <c r="H18" s="27">
        <f t="shared" si="1"/>
        <v>11525</v>
      </c>
      <c r="I18" s="26">
        <v>11065</v>
      </c>
      <c r="J18" s="93" t="s">
        <v>578</v>
      </c>
      <c r="K18" s="94">
        <v>46271</v>
      </c>
      <c r="L18" s="29" t="s">
        <v>518</v>
      </c>
      <c r="M18" s="27">
        <f t="shared" si="0"/>
        <v>460</v>
      </c>
      <c r="N18" s="45"/>
      <c r="O18" s="31" t="s">
        <v>238</v>
      </c>
    </row>
    <row r="19" spans="1:17">
      <c r="A19" s="32" t="s">
        <v>62</v>
      </c>
      <c r="B19" s="32" t="s">
        <v>63</v>
      </c>
      <c r="C19" s="46" t="s">
        <v>64</v>
      </c>
      <c r="D19" s="33"/>
      <c r="E19" s="26">
        <v>10100</v>
      </c>
      <c r="F19" s="26">
        <v>59.999999999999787</v>
      </c>
      <c r="G19" s="27">
        <f>MAY!M19</f>
        <v>105</v>
      </c>
      <c r="H19" s="27">
        <f t="shared" si="1"/>
        <v>10265</v>
      </c>
      <c r="I19" s="47">
        <v>10160</v>
      </c>
      <c r="J19" s="93" t="s">
        <v>554</v>
      </c>
      <c r="K19" s="94" t="s">
        <v>550</v>
      </c>
      <c r="L19" s="29" t="s">
        <v>518</v>
      </c>
      <c r="M19" s="27">
        <f t="shared" si="0"/>
        <v>105</v>
      </c>
      <c r="N19" s="15"/>
      <c r="O19" s="31"/>
    </row>
    <row r="20" spans="1:17">
      <c r="A20" s="19" t="s">
        <v>65</v>
      </c>
      <c r="B20" s="19" t="s">
        <v>66</v>
      </c>
      <c r="C20" s="24" t="s">
        <v>67</v>
      </c>
      <c r="D20" s="33"/>
      <c r="E20" s="26">
        <v>10100</v>
      </c>
      <c r="F20" s="26">
        <v>450</v>
      </c>
      <c r="G20" s="27">
        <f>MAY!M20</f>
        <v>0</v>
      </c>
      <c r="H20" s="27">
        <f t="shared" si="1"/>
        <v>10550</v>
      </c>
      <c r="I20" s="26">
        <v>10550</v>
      </c>
      <c r="J20" s="96" t="s">
        <v>548</v>
      </c>
      <c r="K20" s="94" t="s">
        <v>546</v>
      </c>
      <c r="L20" s="29" t="s">
        <v>518</v>
      </c>
      <c r="M20" s="27">
        <f t="shared" si="0"/>
        <v>0</v>
      </c>
      <c r="N20" s="30"/>
      <c r="O20" s="31" t="s">
        <v>238</v>
      </c>
    </row>
    <row r="21" spans="1:17">
      <c r="A21" s="19" t="s">
        <v>68</v>
      </c>
      <c r="B21" s="19" t="s">
        <v>302</v>
      </c>
      <c r="C21" s="24" t="s">
        <v>474</v>
      </c>
      <c r="D21" s="34"/>
      <c r="E21" s="26">
        <v>10100</v>
      </c>
      <c r="F21" s="26">
        <v>644.99999999999955</v>
      </c>
      <c r="G21" s="27">
        <f>MAY!M21</f>
        <v>355</v>
      </c>
      <c r="H21" s="27">
        <f t="shared" si="1"/>
        <v>11100</v>
      </c>
      <c r="I21" s="26">
        <v>10700</v>
      </c>
      <c r="J21" s="93" t="s">
        <v>542</v>
      </c>
      <c r="K21" s="93" t="s">
        <v>539</v>
      </c>
      <c r="L21" s="29" t="s">
        <v>518</v>
      </c>
      <c r="M21" s="27">
        <f t="shared" si="0"/>
        <v>400</v>
      </c>
      <c r="N21" s="49"/>
      <c r="O21" s="31" t="s">
        <v>238</v>
      </c>
    </row>
    <row r="22" spans="1:17">
      <c r="A22" s="19" t="s">
        <v>71</v>
      </c>
      <c r="B22" s="19" t="s">
        <v>239</v>
      </c>
      <c r="C22" s="24" t="s">
        <v>475</v>
      </c>
      <c r="D22" s="34"/>
      <c r="E22" s="26">
        <v>10100</v>
      </c>
      <c r="F22" s="26">
        <v>269.99999999999955</v>
      </c>
      <c r="G22" s="27">
        <f>MAY!M22</f>
        <v>-415</v>
      </c>
      <c r="H22" s="27">
        <f t="shared" si="1"/>
        <v>9955</v>
      </c>
      <c r="I22" s="26">
        <f>10080+230+100</f>
        <v>10410</v>
      </c>
      <c r="J22" s="93" t="s">
        <v>562</v>
      </c>
      <c r="K22" s="94" t="s">
        <v>561</v>
      </c>
      <c r="L22" s="29" t="s">
        <v>518</v>
      </c>
      <c r="M22" s="27">
        <f t="shared" si="0"/>
        <v>-455</v>
      </c>
      <c r="N22" s="30"/>
      <c r="O22" s="31" t="s">
        <v>238</v>
      </c>
    </row>
    <row r="23" spans="1:17">
      <c r="A23" s="19" t="s">
        <v>74</v>
      </c>
      <c r="B23" s="32" t="s">
        <v>233</v>
      </c>
      <c r="C23" s="24" t="s">
        <v>476</v>
      </c>
      <c r="D23" s="34"/>
      <c r="E23" s="26">
        <v>10100</v>
      </c>
      <c r="F23" s="26">
        <v>1155.0000000000005</v>
      </c>
      <c r="G23" s="27">
        <f>MAY!M23</f>
        <v>4225</v>
      </c>
      <c r="H23" s="27">
        <f t="shared" si="1"/>
        <v>15480</v>
      </c>
      <c r="I23" s="26">
        <v>10255</v>
      </c>
      <c r="J23" s="95" t="s">
        <v>586</v>
      </c>
      <c r="K23" s="97">
        <v>46178</v>
      </c>
      <c r="L23" s="29" t="s">
        <v>518</v>
      </c>
      <c r="M23" s="27">
        <f t="shared" si="0"/>
        <v>5225</v>
      </c>
      <c r="N23" s="30"/>
      <c r="O23" s="77" t="s">
        <v>297</v>
      </c>
    </row>
    <row r="24" spans="1:17">
      <c r="A24" s="19" t="s">
        <v>77</v>
      </c>
      <c r="B24" s="19" t="s">
        <v>78</v>
      </c>
      <c r="C24" s="24" t="s">
        <v>299</v>
      </c>
      <c r="D24" s="34"/>
      <c r="E24" s="26">
        <v>10100</v>
      </c>
      <c r="F24" s="26">
        <v>780.00000000000045</v>
      </c>
      <c r="G24" s="27">
        <f>MAY!M24</f>
        <v>-105</v>
      </c>
      <c r="H24" s="27">
        <f t="shared" si="1"/>
        <v>10775</v>
      </c>
      <c r="I24" s="26">
        <v>10880</v>
      </c>
      <c r="J24" s="93" t="s">
        <v>549</v>
      </c>
      <c r="K24" s="94" t="s">
        <v>550</v>
      </c>
      <c r="L24" s="29" t="s">
        <v>518</v>
      </c>
      <c r="M24" s="27">
        <f t="shared" si="0"/>
        <v>-105</v>
      </c>
      <c r="N24" s="30"/>
      <c r="O24" s="31" t="s">
        <v>238</v>
      </c>
      <c r="P24" t="s">
        <v>22</v>
      </c>
      <c r="Q24">
        <f>I57/H57*100</f>
        <v>106.64689153771664</v>
      </c>
    </row>
    <row r="25" spans="1:17">
      <c r="A25" s="19" t="s">
        <v>80</v>
      </c>
      <c r="B25" s="19" t="s">
        <v>81</v>
      </c>
      <c r="C25" s="46" t="s">
        <v>82</v>
      </c>
      <c r="D25" s="33"/>
      <c r="E25" s="26">
        <v>10100</v>
      </c>
      <c r="F25" s="26">
        <v>734.99999999999659</v>
      </c>
      <c r="G25" s="27">
        <f>MAY!M25</f>
        <v>314.00000000000182</v>
      </c>
      <c r="H25" s="27">
        <f>D25+E25+G25+F25</f>
        <v>11148.999999999998</v>
      </c>
      <c r="I25" s="26">
        <v>10480</v>
      </c>
      <c r="J25" s="93" t="s">
        <v>520</v>
      </c>
      <c r="K25" s="94"/>
      <c r="L25" s="29" t="s">
        <v>518</v>
      </c>
      <c r="M25" s="27">
        <f t="shared" si="0"/>
        <v>668.99999999999818</v>
      </c>
      <c r="N25" s="30"/>
      <c r="O25" s="31" t="s">
        <v>238</v>
      </c>
    </row>
    <row r="26" spans="1:17">
      <c r="A26" s="19" t="s">
        <v>83</v>
      </c>
      <c r="B26" s="19" t="s">
        <v>84</v>
      </c>
      <c r="C26" s="24" t="s">
        <v>85</v>
      </c>
      <c r="D26" s="33"/>
      <c r="E26" s="26">
        <v>10100</v>
      </c>
      <c r="F26" s="26">
        <v>150</v>
      </c>
      <c r="G26" s="27">
        <f>MAY!M26</f>
        <v>0</v>
      </c>
      <c r="H26" s="27">
        <f t="shared" si="1"/>
        <v>10250</v>
      </c>
      <c r="I26" s="26">
        <v>10250</v>
      </c>
      <c r="J26" s="93" t="s">
        <v>545</v>
      </c>
      <c r="K26" s="94" t="s">
        <v>546</v>
      </c>
      <c r="L26" s="29" t="s">
        <v>518</v>
      </c>
      <c r="M26" s="27">
        <f t="shared" si="0"/>
        <v>0</v>
      </c>
      <c r="N26" s="30"/>
      <c r="O26" s="31" t="s">
        <v>238</v>
      </c>
    </row>
    <row r="27" spans="1:17">
      <c r="A27" s="19" t="s">
        <v>86</v>
      </c>
      <c r="B27" s="19" t="s">
        <v>87</v>
      </c>
      <c r="C27" s="24" t="s">
        <v>88</v>
      </c>
      <c r="D27" s="33"/>
      <c r="E27" s="26">
        <v>10100</v>
      </c>
      <c r="F27" s="26">
        <v>614.99999999999909</v>
      </c>
      <c r="G27" s="27">
        <f>MAY!M27</f>
        <v>-679.99999999999818</v>
      </c>
      <c r="H27" s="27">
        <f t="shared" si="1"/>
        <v>10035</v>
      </c>
      <c r="I27" s="26">
        <v>10715</v>
      </c>
      <c r="J27" s="93" t="s">
        <v>551</v>
      </c>
      <c r="K27" s="94" t="s">
        <v>550</v>
      </c>
      <c r="L27" s="29" t="s">
        <v>518</v>
      </c>
      <c r="M27" s="27">
        <f t="shared" si="0"/>
        <v>-680</v>
      </c>
      <c r="N27" s="30"/>
      <c r="O27" s="31" t="s">
        <v>238</v>
      </c>
    </row>
    <row r="28" spans="1:17">
      <c r="A28" s="19" t="s">
        <v>89</v>
      </c>
      <c r="B28" s="19" t="s">
        <v>90</v>
      </c>
      <c r="C28" s="24" t="s">
        <v>91</v>
      </c>
      <c r="D28" s="33"/>
      <c r="E28" s="26">
        <v>10100</v>
      </c>
      <c r="F28" s="26">
        <v>419.99999999999955</v>
      </c>
      <c r="G28" s="27">
        <f>MAY!M28</f>
        <v>175</v>
      </c>
      <c r="H28" s="27">
        <f t="shared" si="1"/>
        <v>10695</v>
      </c>
      <c r="I28" s="26">
        <v>20000</v>
      </c>
      <c r="J28" s="93">
        <v>20000</v>
      </c>
      <c r="K28" s="94">
        <v>46213</v>
      </c>
      <c r="L28" s="29" t="s">
        <v>518</v>
      </c>
      <c r="M28" s="27">
        <f t="shared" si="0"/>
        <v>-9305</v>
      </c>
      <c r="N28" s="30"/>
      <c r="O28" s="31"/>
      <c r="P28" t="s">
        <v>22</v>
      </c>
      <c r="Q28">
        <v>75.570748382370894</v>
      </c>
    </row>
    <row r="29" spans="1:17">
      <c r="A29" s="19" t="s">
        <v>92</v>
      </c>
      <c r="B29" s="19" t="s">
        <v>228</v>
      </c>
      <c r="C29" s="24"/>
      <c r="D29" s="33"/>
      <c r="E29" s="26"/>
      <c r="F29" s="26"/>
      <c r="G29" s="27">
        <f>MAY!M29</f>
        <v>0</v>
      </c>
      <c r="H29" s="27">
        <f t="shared" si="1"/>
        <v>0</v>
      </c>
      <c r="I29" s="26"/>
      <c r="J29" s="93"/>
      <c r="K29" s="93"/>
      <c r="L29" s="29" t="s">
        <v>518</v>
      </c>
      <c r="M29" s="27">
        <f t="shared" si="0"/>
        <v>0</v>
      </c>
      <c r="N29" s="30"/>
      <c r="O29" s="31"/>
    </row>
    <row r="30" spans="1:17">
      <c r="A30" s="19" t="s">
        <v>95</v>
      </c>
      <c r="B30" s="19" t="s">
        <v>93</v>
      </c>
      <c r="C30" s="24" t="s">
        <v>94</v>
      </c>
      <c r="D30" s="33"/>
      <c r="E30" s="26">
        <v>10100</v>
      </c>
      <c r="F30" s="26">
        <v>254.99999999999829</v>
      </c>
      <c r="G30" s="27">
        <f>MAY!M30</f>
        <v>50</v>
      </c>
      <c r="H30" s="27">
        <f t="shared" si="1"/>
        <v>10404.999999999998</v>
      </c>
      <c r="I30" s="26">
        <v>10300</v>
      </c>
      <c r="J30" s="95" t="s">
        <v>560</v>
      </c>
      <c r="K30" s="97" t="s">
        <v>561</v>
      </c>
      <c r="L30" s="29" t="s">
        <v>518</v>
      </c>
      <c r="M30" s="27">
        <f t="shared" si="0"/>
        <v>104.99999999999818</v>
      </c>
      <c r="N30" s="30"/>
      <c r="O30" s="31" t="s">
        <v>238</v>
      </c>
      <c r="P30" s="50" t="s">
        <v>23</v>
      </c>
    </row>
    <row r="31" spans="1:17">
      <c r="A31" s="19" t="s">
        <v>98</v>
      </c>
      <c r="B31" s="19" t="s">
        <v>96</v>
      </c>
      <c r="C31" s="24" t="s">
        <v>97</v>
      </c>
      <c r="D31" s="33"/>
      <c r="E31" s="26">
        <v>10100</v>
      </c>
      <c r="F31" s="26">
        <v>30.000000000000028</v>
      </c>
      <c r="G31" s="27">
        <f>MAY!M31</f>
        <v>-8</v>
      </c>
      <c r="H31" s="27">
        <f t="shared" si="1"/>
        <v>10122</v>
      </c>
      <c r="I31" s="26">
        <v>10130</v>
      </c>
      <c r="J31" s="93" t="s">
        <v>547</v>
      </c>
      <c r="K31" s="93" t="s">
        <v>546</v>
      </c>
      <c r="L31" s="29" t="s">
        <v>518</v>
      </c>
      <c r="M31" s="27">
        <f t="shared" si="0"/>
        <v>-8</v>
      </c>
      <c r="N31" s="30"/>
      <c r="O31" s="31"/>
    </row>
    <row r="32" spans="1:17">
      <c r="A32" s="19" t="s">
        <v>99</v>
      </c>
      <c r="B32" s="32" t="s">
        <v>192</v>
      </c>
      <c r="C32" s="36" t="s">
        <v>193</v>
      </c>
      <c r="D32" s="33"/>
      <c r="E32" s="26">
        <v>10100</v>
      </c>
      <c r="F32" s="26">
        <v>1634.9999999999966</v>
      </c>
      <c r="G32" s="27">
        <f>MAY!M32</f>
        <v>650</v>
      </c>
      <c r="H32" s="27">
        <f t="shared" si="1"/>
        <v>12384.999999999996</v>
      </c>
      <c r="I32" s="26">
        <v>11000</v>
      </c>
      <c r="J32" s="96" t="s">
        <v>582</v>
      </c>
      <c r="K32" s="93" t="s">
        <v>581</v>
      </c>
      <c r="L32" s="29" t="s">
        <v>518</v>
      </c>
      <c r="M32" s="27">
        <f t="shared" si="0"/>
        <v>1384.9999999999964</v>
      </c>
      <c r="N32" s="30"/>
      <c r="O32" s="31" t="s">
        <v>238</v>
      </c>
    </row>
    <row r="33" spans="1:20">
      <c r="A33" s="19" t="s">
        <v>102</v>
      </c>
      <c r="B33" s="19" t="s">
        <v>488</v>
      </c>
      <c r="C33" s="24" t="s">
        <v>101</v>
      </c>
      <c r="D33" s="33"/>
      <c r="E33" s="26">
        <v>10100</v>
      </c>
      <c r="F33" s="26">
        <v>225</v>
      </c>
      <c r="G33" s="27">
        <f>MAY!M33</f>
        <v>-154.99999999999818</v>
      </c>
      <c r="H33" s="27">
        <f t="shared" si="1"/>
        <v>10170.000000000002</v>
      </c>
      <c r="I33" s="26">
        <v>10325</v>
      </c>
      <c r="J33" s="93"/>
      <c r="K33" s="94"/>
      <c r="L33" s="29" t="s">
        <v>518</v>
      </c>
      <c r="M33" s="27">
        <f t="shared" si="0"/>
        <v>-154.99999999999818</v>
      </c>
      <c r="N33" s="30"/>
      <c r="O33" s="31" t="s">
        <v>238</v>
      </c>
    </row>
    <row r="34" spans="1:20">
      <c r="A34" s="19" t="s">
        <v>105</v>
      </c>
      <c r="B34" s="19" t="s">
        <v>103</v>
      </c>
      <c r="C34" s="24" t="s">
        <v>104</v>
      </c>
      <c r="D34" s="33"/>
      <c r="E34" s="26">
        <v>10100</v>
      </c>
      <c r="F34" s="26">
        <v>209.99999999999872</v>
      </c>
      <c r="G34" s="27">
        <f>MAY!M34</f>
        <v>100.00000000000182</v>
      </c>
      <c r="H34" s="27">
        <f t="shared" si="1"/>
        <v>10410</v>
      </c>
      <c r="I34" s="26">
        <v>10300</v>
      </c>
      <c r="J34" s="93" t="s">
        <v>553</v>
      </c>
      <c r="K34" s="93" t="s">
        <v>550</v>
      </c>
      <c r="L34" s="29" t="s">
        <v>518</v>
      </c>
      <c r="M34" s="27">
        <f t="shared" si="0"/>
        <v>110</v>
      </c>
      <c r="N34" s="30"/>
      <c r="O34" s="31"/>
    </row>
    <row r="35" spans="1:20">
      <c r="A35" s="19" t="s">
        <v>108</v>
      </c>
      <c r="B35" s="19" t="s">
        <v>106</v>
      </c>
      <c r="C35" s="24" t="s">
        <v>107</v>
      </c>
      <c r="D35" s="33"/>
      <c r="E35" s="26">
        <v>10100</v>
      </c>
      <c r="F35" s="26">
        <v>164.99999999999915</v>
      </c>
      <c r="G35" s="27">
        <f>MAY!M35</f>
        <v>-210.00000000000256</v>
      </c>
      <c r="H35" s="27">
        <f t="shared" si="1"/>
        <v>10054.999999999998</v>
      </c>
      <c r="I35" s="26">
        <v>10385</v>
      </c>
      <c r="J35" s="93" t="s">
        <v>528</v>
      </c>
      <c r="K35" s="94">
        <v>46147</v>
      </c>
      <c r="L35" s="29" t="s">
        <v>518</v>
      </c>
      <c r="M35" s="27">
        <f t="shared" si="0"/>
        <v>-330.00000000000182</v>
      </c>
      <c r="N35" s="30"/>
      <c r="O35" s="31"/>
    </row>
    <row r="36" spans="1:20">
      <c r="A36" s="19" t="s">
        <v>111</v>
      </c>
      <c r="B36" s="19" t="s">
        <v>109</v>
      </c>
      <c r="C36" s="24" t="s">
        <v>110</v>
      </c>
      <c r="D36" s="33"/>
      <c r="E36" s="26">
        <v>10100</v>
      </c>
      <c r="F36" s="26">
        <v>165.00000000000341</v>
      </c>
      <c r="G36" s="27">
        <f>MAY!M36</f>
        <v>-10360</v>
      </c>
      <c r="H36" s="27">
        <f t="shared" si="1"/>
        <v>-94.999999999996589</v>
      </c>
      <c r="I36" s="26">
        <v>10200</v>
      </c>
      <c r="J36" s="93" t="s">
        <v>525</v>
      </c>
      <c r="K36" s="94">
        <v>46148</v>
      </c>
      <c r="L36" s="29" t="s">
        <v>518</v>
      </c>
      <c r="M36" s="27">
        <f t="shared" si="0"/>
        <v>-10294.999999999996</v>
      </c>
      <c r="N36" s="30"/>
      <c r="O36" s="31"/>
    </row>
    <row r="37" spans="1:20">
      <c r="A37" s="19" t="s">
        <v>114</v>
      </c>
      <c r="B37" s="19" t="s">
        <v>112</v>
      </c>
      <c r="C37" s="24" t="s">
        <v>113</v>
      </c>
      <c r="D37" s="33"/>
      <c r="E37" s="26">
        <v>10100</v>
      </c>
      <c r="F37" s="26">
        <v>300</v>
      </c>
      <c r="G37" s="27">
        <f>MAY!M37</f>
        <v>-24.999999999998181</v>
      </c>
      <c r="H37" s="27">
        <f t="shared" si="1"/>
        <v>10375.000000000002</v>
      </c>
      <c r="I37" s="91">
        <v>10400</v>
      </c>
      <c r="J37" s="93" t="s">
        <v>543</v>
      </c>
      <c r="K37" s="93" t="s">
        <v>544</v>
      </c>
      <c r="L37" s="29" t="s">
        <v>518</v>
      </c>
      <c r="M37" s="27">
        <f>H37-MAY!I25</f>
        <v>35.000000000001819</v>
      </c>
      <c r="N37" s="30"/>
      <c r="O37" s="31"/>
    </row>
    <row r="38" spans="1:20">
      <c r="A38" s="19" t="s">
        <v>117</v>
      </c>
      <c r="B38" s="19" t="s">
        <v>115</v>
      </c>
      <c r="C38" s="24" t="s">
        <v>116</v>
      </c>
      <c r="D38" s="33"/>
      <c r="E38" s="26">
        <v>10100</v>
      </c>
      <c r="F38" s="26">
        <v>434.99999999999659</v>
      </c>
      <c r="G38" s="27">
        <f>MAY!M38</f>
        <v>195.00000000000182</v>
      </c>
      <c r="H38" s="27">
        <f t="shared" si="1"/>
        <v>10729.999999999998</v>
      </c>
      <c r="I38" s="26">
        <v>10295</v>
      </c>
      <c r="J38" s="93" t="s">
        <v>575</v>
      </c>
      <c r="K38" s="93" t="s">
        <v>576</v>
      </c>
      <c r="L38" s="29" t="s">
        <v>518</v>
      </c>
      <c r="M38" s="27">
        <f t="shared" ref="M38:M56" si="2">H38-I38</f>
        <v>434.99999999999818</v>
      </c>
      <c r="N38" s="30"/>
      <c r="O38" s="31"/>
    </row>
    <row r="39" spans="1:20">
      <c r="A39" s="19" t="s">
        <v>120</v>
      </c>
      <c r="B39" s="19" t="s">
        <v>118</v>
      </c>
      <c r="C39" s="24" t="s">
        <v>119</v>
      </c>
      <c r="D39" s="33"/>
      <c r="E39" s="26">
        <v>10100</v>
      </c>
      <c r="F39" s="26">
        <v>150</v>
      </c>
      <c r="G39" s="27">
        <f>MAY!M39</f>
        <v>299.99999999999818</v>
      </c>
      <c r="H39" s="27">
        <f t="shared" si="1"/>
        <v>10549.999999999998</v>
      </c>
      <c r="I39" s="26">
        <v>10255</v>
      </c>
      <c r="J39" s="93" t="s">
        <v>592</v>
      </c>
      <c r="K39" s="94" t="s">
        <v>593</v>
      </c>
      <c r="L39" s="29" t="s">
        <v>518</v>
      </c>
      <c r="M39" s="27">
        <f t="shared" si="2"/>
        <v>294.99999999999818</v>
      </c>
      <c r="N39" s="30"/>
      <c r="O39" s="31" t="s">
        <v>238</v>
      </c>
      <c r="T39" t="s">
        <v>512</v>
      </c>
    </row>
    <row r="40" spans="1:20">
      <c r="A40" s="19" t="s">
        <v>122</v>
      </c>
      <c r="B40" s="19" t="s">
        <v>174</v>
      </c>
      <c r="C40" s="24" t="s">
        <v>493</v>
      </c>
      <c r="D40" s="33"/>
      <c r="E40" s="26">
        <v>10100</v>
      </c>
      <c r="F40" s="26">
        <v>1650</v>
      </c>
      <c r="G40" s="27">
        <f>MAY!M40</f>
        <v>0</v>
      </c>
      <c r="H40" s="27">
        <f t="shared" si="1"/>
        <v>11750</v>
      </c>
      <c r="I40" s="26">
        <v>10100</v>
      </c>
      <c r="J40" s="93" t="s">
        <v>573</v>
      </c>
      <c r="K40" s="93" t="s">
        <v>574</v>
      </c>
      <c r="L40" s="29" t="s">
        <v>518</v>
      </c>
      <c r="M40" s="27">
        <f t="shared" si="2"/>
        <v>1650</v>
      </c>
      <c r="N40" s="30"/>
      <c r="O40" s="31" t="s">
        <v>238</v>
      </c>
    </row>
    <row r="41" spans="1:20">
      <c r="A41" s="19" t="s">
        <v>123</v>
      </c>
      <c r="B41" s="19" t="s">
        <v>563</v>
      </c>
      <c r="C41" s="24" t="s">
        <v>564</v>
      </c>
      <c r="D41" s="33"/>
      <c r="E41" s="26">
        <v>10100</v>
      </c>
      <c r="F41" s="26">
        <v>0</v>
      </c>
      <c r="G41" s="27">
        <v>0</v>
      </c>
      <c r="H41" s="27">
        <f t="shared" si="1"/>
        <v>10100</v>
      </c>
      <c r="I41" s="26">
        <v>10000</v>
      </c>
      <c r="J41" s="93" t="s">
        <v>571</v>
      </c>
      <c r="K41" s="93" t="s">
        <v>572</v>
      </c>
      <c r="L41" s="29" t="s">
        <v>518</v>
      </c>
      <c r="M41" s="27">
        <f t="shared" si="2"/>
        <v>100</v>
      </c>
      <c r="N41" s="30"/>
      <c r="O41" s="31" t="s">
        <v>238</v>
      </c>
    </row>
    <row r="42" spans="1:20">
      <c r="A42" s="19" t="s">
        <v>126</v>
      </c>
      <c r="B42" s="19" t="s">
        <v>124</v>
      </c>
      <c r="C42" s="24" t="s">
        <v>125</v>
      </c>
      <c r="D42" s="33"/>
      <c r="E42" s="26">
        <v>10100</v>
      </c>
      <c r="F42" s="26">
        <v>360.00000000000085</v>
      </c>
      <c r="G42" s="27">
        <f>MAY!M42</f>
        <v>48</v>
      </c>
      <c r="H42" s="27">
        <f t="shared" si="1"/>
        <v>10508</v>
      </c>
      <c r="I42" s="26">
        <v>10360</v>
      </c>
      <c r="J42" s="93" t="s">
        <v>529</v>
      </c>
      <c r="K42" s="94" t="s">
        <v>550</v>
      </c>
      <c r="L42" s="29" t="s">
        <v>518</v>
      </c>
      <c r="M42" s="27">
        <f t="shared" si="2"/>
        <v>148</v>
      </c>
      <c r="N42" s="30"/>
      <c r="O42" s="31" t="s">
        <v>238</v>
      </c>
    </row>
    <row r="43" spans="1:20">
      <c r="A43" s="19" t="s">
        <v>127</v>
      </c>
      <c r="B43" s="19" t="s">
        <v>169</v>
      </c>
      <c r="C43" s="24" t="s">
        <v>170</v>
      </c>
      <c r="D43" s="33"/>
      <c r="E43" s="26">
        <v>10100</v>
      </c>
      <c r="F43" s="26">
        <v>120.00000000000171</v>
      </c>
      <c r="G43" s="27">
        <f>MAY!M43</f>
        <v>205</v>
      </c>
      <c r="H43" s="27">
        <f t="shared" si="1"/>
        <v>10425.000000000002</v>
      </c>
      <c r="I43" s="26">
        <f>10100+120</f>
        <v>10220</v>
      </c>
      <c r="J43" s="93" t="s">
        <v>579</v>
      </c>
      <c r="K43" s="94">
        <v>46271</v>
      </c>
      <c r="L43" s="29" t="s">
        <v>518</v>
      </c>
      <c r="M43" s="27">
        <f t="shared" si="2"/>
        <v>205.00000000000182</v>
      </c>
      <c r="N43" s="30"/>
      <c r="O43" s="31" t="s">
        <v>238</v>
      </c>
    </row>
    <row r="44" spans="1:20">
      <c r="A44" s="19" t="s">
        <v>130</v>
      </c>
      <c r="B44" s="19" t="s">
        <v>128</v>
      </c>
      <c r="C44" s="24" t="s">
        <v>129</v>
      </c>
      <c r="D44" s="33"/>
      <c r="E44" s="26">
        <v>10100</v>
      </c>
      <c r="F44" s="26">
        <v>689.99999999999909</v>
      </c>
      <c r="G44" s="27">
        <f>MAY!M44</f>
        <v>-1206</v>
      </c>
      <c r="H44" s="27">
        <f t="shared" si="1"/>
        <v>9584</v>
      </c>
      <c r="I44" s="26">
        <f>7000+2000</f>
        <v>9000</v>
      </c>
      <c r="J44" s="93" t="s">
        <v>587</v>
      </c>
      <c r="K44" s="93" t="s">
        <v>588</v>
      </c>
      <c r="L44" s="29" t="s">
        <v>518</v>
      </c>
      <c r="M44" s="27">
        <f t="shared" si="2"/>
        <v>584</v>
      </c>
      <c r="N44" s="30"/>
      <c r="O44" s="31" t="s">
        <v>238</v>
      </c>
    </row>
    <row r="45" spans="1:20">
      <c r="A45" s="19" t="s">
        <v>133</v>
      </c>
      <c r="B45" s="19" t="s">
        <v>300</v>
      </c>
      <c r="C45" s="24" t="s">
        <v>132</v>
      </c>
      <c r="D45" s="33"/>
      <c r="E45" s="26">
        <v>10100</v>
      </c>
      <c r="F45" s="26">
        <v>510.00000000000085</v>
      </c>
      <c r="G45" s="27">
        <f>MAY!M45</f>
        <v>-16530</v>
      </c>
      <c r="H45" s="27">
        <f t="shared" si="1"/>
        <v>-5919.9999999999991</v>
      </c>
      <c r="I45" s="26">
        <v>10510</v>
      </c>
      <c r="J45" s="93" t="s">
        <v>538</v>
      </c>
      <c r="K45" s="93" t="s">
        <v>539</v>
      </c>
      <c r="L45" s="29" t="s">
        <v>518</v>
      </c>
      <c r="M45" s="27">
        <f t="shared" si="2"/>
        <v>-16430</v>
      </c>
      <c r="N45" s="30"/>
      <c r="O45" s="31" t="s">
        <v>238</v>
      </c>
    </row>
    <row r="46" spans="1:20">
      <c r="A46" s="19" t="s">
        <v>136</v>
      </c>
      <c r="B46" s="19" t="s">
        <v>134</v>
      </c>
      <c r="C46" s="24" t="s">
        <v>135</v>
      </c>
      <c r="D46" s="33"/>
      <c r="E46" s="26">
        <v>10100</v>
      </c>
      <c r="F46" s="26">
        <v>914.99999999999909</v>
      </c>
      <c r="G46" s="27">
        <f>MAY!M46</f>
        <v>-111</v>
      </c>
      <c r="H46" s="27">
        <f t="shared" si="1"/>
        <v>10904</v>
      </c>
      <c r="I46" s="26">
        <v>11015</v>
      </c>
      <c r="J46" s="93" t="s">
        <v>526</v>
      </c>
      <c r="K46" s="94">
        <v>46118</v>
      </c>
      <c r="L46" s="29" t="s">
        <v>518</v>
      </c>
      <c r="M46" s="27">
        <f t="shared" si="2"/>
        <v>-111</v>
      </c>
      <c r="N46" s="30"/>
      <c r="O46" s="31" t="s">
        <v>238</v>
      </c>
    </row>
    <row r="47" spans="1:20">
      <c r="A47" s="19" t="s">
        <v>139</v>
      </c>
      <c r="B47" s="19" t="s">
        <v>137</v>
      </c>
      <c r="C47" s="24" t="s">
        <v>138</v>
      </c>
      <c r="D47" s="33"/>
      <c r="E47" s="26">
        <v>10100</v>
      </c>
      <c r="F47" s="26">
        <v>90.000000000000213</v>
      </c>
      <c r="G47" s="27">
        <f>MAY!M47</f>
        <v>60</v>
      </c>
      <c r="H47" s="27">
        <f t="shared" si="1"/>
        <v>10250</v>
      </c>
      <c r="I47" s="26">
        <v>10160</v>
      </c>
      <c r="J47" s="93" t="s">
        <v>583</v>
      </c>
      <c r="K47" s="94">
        <v>46059</v>
      </c>
      <c r="L47" s="29" t="s">
        <v>518</v>
      </c>
      <c r="M47" s="27">
        <f t="shared" si="2"/>
        <v>90</v>
      </c>
      <c r="N47" s="30"/>
      <c r="O47" s="31"/>
    </row>
    <row r="48" spans="1:20">
      <c r="A48" s="19" t="s">
        <v>142</v>
      </c>
      <c r="B48" s="19" t="s">
        <v>140</v>
      </c>
      <c r="C48" s="24" t="s">
        <v>293</v>
      </c>
      <c r="D48" s="33"/>
      <c r="E48" s="26">
        <v>10100</v>
      </c>
      <c r="F48" s="26">
        <v>150</v>
      </c>
      <c r="G48" s="27">
        <f>MAY!M48</f>
        <v>50.000000000001819</v>
      </c>
      <c r="H48" s="27">
        <f t="shared" si="1"/>
        <v>10300.000000000002</v>
      </c>
      <c r="I48" s="26">
        <v>10200</v>
      </c>
      <c r="J48" s="93" t="s">
        <v>584</v>
      </c>
      <c r="K48" s="94">
        <v>46087</v>
      </c>
      <c r="L48" s="29" t="s">
        <v>518</v>
      </c>
      <c r="M48" s="27">
        <f t="shared" si="2"/>
        <v>100.00000000000182</v>
      </c>
      <c r="N48" s="30"/>
      <c r="O48" s="31" t="s">
        <v>238</v>
      </c>
    </row>
    <row r="49" spans="1:15">
      <c r="A49" s="19" t="s">
        <v>145</v>
      </c>
      <c r="B49" s="19" t="s">
        <v>143</v>
      </c>
      <c r="C49" s="24" t="s">
        <v>144</v>
      </c>
      <c r="D49" s="33"/>
      <c r="E49" s="26">
        <v>10100</v>
      </c>
      <c r="F49" s="26">
        <v>359.99999999999875</v>
      </c>
      <c r="G49" s="27">
        <f>MAY!M49</f>
        <v>175</v>
      </c>
      <c r="H49" s="27">
        <f t="shared" si="1"/>
        <v>10634.999999999998</v>
      </c>
      <c r="I49" s="26">
        <v>10460</v>
      </c>
      <c r="J49" s="93" t="s">
        <v>552</v>
      </c>
      <c r="K49" s="94" t="s">
        <v>546</v>
      </c>
      <c r="L49" s="29" t="s">
        <v>518</v>
      </c>
      <c r="M49" s="27">
        <f t="shared" si="2"/>
        <v>174.99999999999818</v>
      </c>
      <c r="N49" s="30"/>
      <c r="O49" s="31"/>
    </row>
    <row r="50" spans="1:15">
      <c r="A50" s="19" t="s">
        <v>148</v>
      </c>
      <c r="B50" s="19" t="s">
        <v>146</v>
      </c>
      <c r="C50" s="24" t="s">
        <v>147</v>
      </c>
      <c r="D50" s="33"/>
      <c r="E50" s="26">
        <v>10100</v>
      </c>
      <c r="F50" s="26">
        <v>239.99999999999915</v>
      </c>
      <c r="G50" s="27">
        <f>MAY!M50</f>
        <v>0</v>
      </c>
      <c r="H50" s="27">
        <f t="shared" si="1"/>
        <v>10340</v>
      </c>
      <c r="I50" s="26">
        <v>10350</v>
      </c>
      <c r="J50" s="93" t="s">
        <v>540</v>
      </c>
      <c r="K50" s="93" t="s">
        <v>539</v>
      </c>
      <c r="L50" s="29" t="s">
        <v>518</v>
      </c>
      <c r="M50" s="27">
        <f t="shared" si="2"/>
        <v>-10</v>
      </c>
      <c r="N50" s="30"/>
      <c r="O50" s="31"/>
    </row>
    <row r="51" spans="1:15">
      <c r="A51" s="19" t="s">
        <v>156</v>
      </c>
      <c r="B51" s="19" t="s">
        <v>159</v>
      </c>
      <c r="C51" s="24" t="s">
        <v>285</v>
      </c>
      <c r="D51" s="33"/>
      <c r="E51" s="26">
        <v>10100</v>
      </c>
      <c r="F51" s="26">
        <v>240.00000000000341</v>
      </c>
      <c r="G51" s="27">
        <f>MAY!M51</f>
        <v>-40.000000000001819</v>
      </c>
      <c r="H51" s="27">
        <f t="shared" si="1"/>
        <v>10300.000000000002</v>
      </c>
      <c r="I51" s="26">
        <f>10340</f>
        <v>10340</v>
      </c>
      <c r="J51" s="93" t="s">
        <v>589</v>
      </c>
      <c r="K51" s="94" t="s">
        <v>590</v>
      </c>
      <c r="L51" s="29" t="s">
        <v>518</v>
      </c>
      <c r="M51" s="27">
        <f t="shared" si="2"/>
        <v>-39.999999999998181</v>
      </c>
      <c r="N51" s="30"/>
      <c r="O51" s="31" t="s">
        <v>238</v>
      </c>
    </row>
    <row r="52" spans="1:15">
      <c r="A52" s="19" t="s">
        <v>157</v>
      </c>
      <c r="B52" s="19" t="s">
        <v>149</v>
      </c>
      <c r="C52" s="24" t="s">
        <v>150</v>
      </c>
      <c r="D52" s="33"/>
      <c r="E52" s="26">
        <v>10100</v>
      </c>
      <c r="F52" s="26">
        <v>0</v>
      </c>
      <c r="G52" s="27">
        <f>MAY!M52</f>
        <v>30</v>
      </c>
      <c r="H52" s="27">
        <f t="shared" si="1"/>
        <v>10130</v>
      </c>
      <c r="I52" s="26">
        <v>10100</v>
      </c>
      <c r="J52" s="93" t="s">
        <v>541</v>
      </c>
      <c r="K52" s="93" t="s">
        <v>539</v>
      </c>
      <c r="L52" s="29" t="s">
        <v>518</v>
      </c>
      <c r="M52" s="27">
        <f t="shared" si="2"/>
        <v>30</v>
      </c>
      <c r="N52" s="30"/>
      <c r="O52" s="31"/>
    </row>
    <row r="53" spans="1:15">
      <c r="A53" s="19" t="s">
        <v>158</v>
      </c>
      <c r="B53" s="79" t="s">
        <v>160</v>
      </c>
      <c r="C53" s="88" t="s">
        <v>311</v>
      </c>
      <c r="D53" s="33"/>
      <c r="E53" s="26">
        <v>10100</v>
      </c>
      <c r="F53" s="26">
        <v>675</v>
      </c>
      <c r="G53" s="27">
        <f>MAY!M53</f>
        <v>-230.00000000000182</v>
      </c>
      <c r="H53" s="27">
        <f t="shared" si="1"/>
        <v>10544.999999999998</v>
      </c>
      <c r="I53" s="26">
        <v>10100</v>
      </c>
      <c r="J53" s="93" t="s">
        <v>541</v>
      </c>
      <c r="K53" s="94">
        <v>46240</v>
      </c>
      <c r="L53" s="29" t="s">
        <v>518</v>
      </c>
      <c r="M53" s="27">
        <f t="shared" si="2"/>
        <v>444.99999999999818</v>
      </c>
      <c r="N53" s="30"/>
      <c r="O53" s="31"/>
    </row>
    <row r="54" spans="1:15">
      <c r="A54" s="19" t="s">
        <v>151</v>
      </c>
      <c r="B54" s="19" t="s">
        <v>152</v>
      </c>
      <c r="C54" s="24" t="s">
        <v>153</v>
      </c>
      <c r="D54" s="33"/>
      <c r="E54" s="26">
        <v>10100</v>
      </c>
      <c r="F54" s="26">
        <v>464.99999999999915</v>
      </c>
      <c r="G54" s="27">
        <f>MAY!M54</f>
        <v>-80</v>
      </c>
      <c r="H54" s="27">
        <f t="shared" si="1"/>
        <v>10485</v>
      </c>
      <c r="I54" s="26">
        <v>10565</v>
      </c>
      <c r="J54" s="93" t="s">
        <v>556</v>
      </c>
      <c r="K54" s="93" t="s">
        <v>550</v>
      </c>
      <c r="L54" s="29" t="s">
        <v>518</v>
      </c>
      <c r="M54" s="27">
        <f t="shared" si="2"/>
        <v>-80</v>
      </c>
      <c r="N54" s="30"/>
      <c r="O54" s="31" t="s">
        <v>238</v>
      </c>
    </row>
    <row r="55" spans="1:15">
      <c r="A55" s="19" t="s">
        <v>161</v>
      </c>
      <c r="B55" s="19" t="s">
        <v>567</v>
      </c>
      <c r="C55" s="24" t="s">
        <v>568</v>
      </c>
      <c r="D55" s="33"/>
      <c r="E55" s="26">
        <v>10100</v>
      </c>
      <c r="F55" s="26">
        <v>0</v>
      </c>
      <c r="G55" s="27"/>
      <c r="H55" s="27">
        <f t="shared" si="1"/>
        <v>10100</v>
      </c>
      <c r="I55" s="26">
        <v>10000</v>
      </c>
      <c r="J55" s="93" t="s">
        <v>570</v>
      </c>
      <c r="K55" s="93" t="s">
        <v>550</v>
      </c>
      <c r="L55" s="29" t="s">
        <v>518</v>
      </c>
      <c r="M55" s="27">
        <f t="shared" si="2"/>
        <v>100</v>
      </c>
      <c r="N55" s="30" t="s">
        <v>800</v>
      </c>
      <c r="O55" s="31" t="s">
        <v>238</v>
      </c>
    </row>
    <row r="56" spans="1:15">
      <c r="A56" s="19" t="s">
        <v>162</v>
      </c>
      <c r="B56" s="19" t="s">
        <v>565</v>
      </c>
      <c r="C56" s="24" t="s">
        <v>566</v>
      </c>
      <c r="D56" s="33"/>
      <c r="E56" s="26">
        <v>10100</v>
      </c>
      <c r="F56" s="26">
        <v>239.99999999999915</v>
      </c>
      <c r="G56" s="27"/>
      <c r="H56" s="27">
        <f t="shared" si="1"/>
        <v>10340</v>
      </c>
      <c r="I56" s="26">
        <v>10000</v>
      </c>
      <c r="J56" s="93"/>
      <c r="K56" s="93" t="s">
        <v>569</v>
      </c>
      <c r="L56" s="29" t="s">
        <v>518</v>
      </c>
      <c r="M56" s="27">
        <f t="shared" si="2"/>
        <v>340</v>
      </c>
      <c r="N56" s="30"/>
      <c r="O56" s="31" t="s">
        <v>238</v>
      </c>
    </row>
    <row r="57" spans="1:15">
      <c r="A57" s="52" t="s">
        <v>25</v>
      </c>
      <c r="B57" s="19"/>
      <c r="C57" s="53"/>
      <c r="D57" s="54"/>
      <c r="E57" s="54">
        <f>SUM(E9:E56)</f>
        <v>480700</v>
      </c>
      <c r="F57" s="54">
        <f>SUM(F9:F56)</f>
        <v>22619.999999999993</v>
      </c>
      <c r="G57" s="54">
        <f>SUM(G9:G56)</f>
        <v>-45843</v>
      </c>
      <c r="H57" s="54">
        <f>SUM(H9:H56)</f>
        <v>457477</v>
      </c>
      <c r="I57" s="54">
        <f>SUM(I9:I56)</f>
        <v>487885</v>
      </c>
      <c r="J57" s="54"/>
      <c r="K57" s="54"/>
      <c r="L57" s="54"/>
      <c r="M57" s="54">
        <f>SUM(M9:M56)</f>
        <v>-30348.000000000007</v>
      </c>
      <c r="N57" s="55"/>
      <c r="O57" s="55"/>
    </row>
    <row r="58" spans="1:15">
      <c r="A58" s="12"/>
      <c r="B58" s="19"/>
      <c r="C58" s="53"/>
      <c r="D58" s="56"/>
      <c r="E58" s="57"/>
      <c r="F58" s="57"/>
      <c r="G58" s="58"/>
      <c r="H58" s="57"/>
      <c r="I58" s="57"/>
      <c r="J58" s="12"/>
      <c r="K58" s="12"/>
      <c r="L58" s="12"/>
      <c r="M58" s="57"/>
      <c r="N58" s="57"/>
      <c r="O58" s="57"/>
    </row>
    <row r="59" spans="1:15">
      <c r="A59" s="59" t="s">
        <v>26</v>
      </c>
      <c r="B59" s="19"/>
      <c r="C59" s="53"/>
      <c r="D59" s="56"/>
      <c r="E59" s="57"/>
      <c r="F59" s="57"/>
      <c r="G59" s="58"/>
      <c r="H59" s="57"/>
      <c r="I59" s="57"/>
      <c r="J59" s="12"/>
      <c r="K59" s="12"/>
      <c r="L59" s="12"/>
      <c r="M59" s="57"/>
      <c r="N59" s="57"/>
      <c r="O59" s="57"/>
    </row>
    <row r="60" spans="1:15">
      <c r="A60" s="19" t="s">
        <v>27</v>
      </c>
      <c r="B60" s="19"/>
      <c r="C60" s="53"/>
      <c r="D60" s="19"/>
      <c r="E60" s="19"/>
      <c r="F60" s="19"/>
      <c r="G60" s="20"/>
      <c r="H60" s="19"/>
      <c r="I60" s="60">
        <f>6%*I57</f>
        <v>29273.1</v>
      </c>
      <c r="J60" s="19"/>
      <c r="K60" s="19"/>
      <c r="L60" s="19"/>
      <c r="M60" s="19"/>
      <c r="N60" s="15"/>
      <c r="O60" s="19"/>
    </row>
    <row r="61" spans="1:15" ht="16.5">
      <c r="A61" s="15" t="s">
        <v>28</v>
      </c>
      <c r="B61" s="15"/>
      <c r="C61" s="15"/>
      <c r="D61" s="15"/>
      <c r="E61" s="15"/>
      <c r="F61" s="15"/>
      <c r="G61" s="61"/>
      <c r="H61" s="15"/>
      <c r="I61" s="62">
        <f>SUM(I60:I60)</f>
        <v>29273.1</v>
      </c>
      <c r="J61" s="15"/>
      <c r="K61" s="15"/>
      <c r="L61" s="19"/>
      <c r="M61" s="15"/>
      <c r="N61" s="15"/>
      <c r="O61" s="15"/>
    </row>
    <row r="62" spans="1:15">
      <c r="A62" s="15"/>
      <c r="B62" s="15"/>
      <c r="C62" s="15"/>
      <c r="D62" s="15"/>
      <c r="E62" s="15"/>
      <c r="F62" s="15"/>
      <c r="G62" s="61"/>
      <c r="H62" s="15"/>
      <c r="I62" s="63"/>
      <c r="J62" s="15"/>
      <c r="K62" s="15"/>
      <c r="L62" s="15"/>
      <c r="M62" s="15"/>
      <c r="N62" s="15"/>
      <c r="O62" s="15"/>
    </row>
    <row r="63" spans="1:15">
      <c r="A63" s="2" t="s">
        <v>29</v>
      </c>
      <c r="B63" s="2"/>
      <c r="C63" s="2"/>
      <c r="D63" s="2"/>
      <c r="E63" s="2"/>
      <c r="F63" s="2"/>
      <c r="G63" s="64"/>
      <c r="H63" s="2"/>
      <c r="I63" s="47">
        <f>MAY!M65</f>
        <v>32905.5</v>
      </c>
      <c r="J63" s="65" t="s">
        <v>30</v>
      </c>
      <c r="K63" s="65"/>
      <c r="L63" s="65" t="s">
        <v>30</v>
      </c>
      <c r="M63" s="66" t="s">
        <v>31</v>
      </c>
    </row>
    <row r="64" spans="1:15" ht="15.75" thickBot="1">
      <c r="A64" s="1" t="s">
        <v>32</v>
      </c>
      <c r="B64" s="1"/>
      <c r="C64" s="1"/>
      <c r="D64" s="1"/>
      <c r="E64" s="1"/>
      <c r="F64" s="1"/>
      <c r="G64" s="67"/>
      <c r="H64" s="68"/>
      <c r="I64" s="69">
        <f>I61</f>
        <v>29273.1</v>
      </c>
      <c r="J64" s="70"/>
      <c r="K64" s="70"/>
      <c r="L64" s="71"/>
      <c r="M64" s="72">
        <f>I64-J64-L64</f>
        <v>29273.1</v>
      </c>
    </row>
    <row r="65" spans="1:15" ht="15.75" thickTop="1">
      <c r="A65" s="1"/>
      <c r="B65" s="2"/>
      <c r="C65" s="2"/>
      <c r="D65" s="68"/>
      <c r="E65" s="68"/>
      <c r="F65" s="68"/>
      <c r="G65" s="70"/>
      <c r="H65" s="2"/>
      <c r="I65" s="73"/>
      <c r="J65" s="19"/>
      <c r="K65" s="19"/>
      <c r="L65" s="2"/>
      <c r="M65" s="19"/>
      <c r="N65" s="2"/>
      <c r="O65" s="68"/>
    </row>
    <row r="66" spans="1:15">
      <c r="A66" s="2" t="s">
        <v>33</v>
      </c>
      <c r="B66" s="2"/>
      <c r="C66" s="2"/>
      <c r="D66" s="2"/>
      <c r="E66" s="2"/>
      <c r="F66" s="2"/>
      <c r="G66" s="64"/>
      <c r="H66" s="2"/>
      <c r="I66" s="27"/>
      <c r="J66" s="19"/>
      <c r="K66" s="19"/>
      <c r="L66" s="2"/>
      <c r="M66" s="74">
        <v>46203</v>
      </c>
      <c r="N66" s="75"/>
      <c r="O66" s="76"/>
    </row>
    <row r="67" spans="1:15">
      <c r="A67" s="44"/>
      <c r="B67" s="44"/>
      <c r="C67" s="44"/>
      <c r="D67" s="44"/>
      <c r="E67" s="44"/>
      <c r="F67" s="44"/>
      <c r="G67" s="44"/>
      <c r="H67" s="44"/>
      <c r="L67" s="44"/>
      <c r="N67" s="44"/>
      <c r="O67" s="44"/>
    </row>
    <row r="68" spans="1:15" s="44" customFormat="1">
      <c r="I68"/>
      <c r="J68"/>
      <c r="K68"/>
      <c r="M68"/>
    </row>
    <row r="69" spans="1:15">
      <c r="A69" s="44"/>
      <c r="B69" s="44"/>
      <c r="C69" s="44"/>
      <c r="D69" s="44"/>
      <c r="E69" s="44"/>
      <c r="F69" s="44"/>
      <c r="G69" s="44"/>
      <c r="H69" s="44"/>
      <c r="L69" s="44"/>
      <c r="N69" s="44"/>
      <c r="O69" s="44"/>
    </row>
    <row r="70" spans="1:15">
      <c r="E70">
        <f>I57/H57*100</f>
        <v>106.64689153771664</v>
      </c>
    </row>
  </sheetData>
  <mergeCells count="1">
    <mergeCell ref="A3:M3"/>
  </mergeCells>
  <pageMargins left="0.25" right="0.25" top="0.75" bottom="0.75" header="0.3" footer="0.3"/>
  <pageSetup scale="2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4BD2-A1A2-413C-98E4-BD3EC76E09EC}">
  <sheetPr>
    <pageSetUpPr fitToPage="1"/>
  </sheetPr>
  <dimension ref="A1:T70"/>
  <sheetViews>
    <sheetView topLeftCell="A7" zoomScale="70" zoomScaleNormal="70" workbookViewId="0">
      <selection activeCell="A36" sqref="A36:XFD36"/>
    </sheetView>
  </sheetViews>
  <sheetFormatPr defaultColWidth="9" defaultRowHeight="15"/>
  <cols>
    <col min="2" max="2" width="15.28515625" customWidth="1"/>
    <col min="3" max="3" width="14.85546875" customWidth="1"/>
    <col min="4" max="4" width="10.85546875" customWidth="1"/>
    <col min="5" max="5" width="29" customWidth="1"/>
    <col min="6" max="6" width="15.42578125" customWidth="1"/>
    <col min="7" max="7" width="29" customWidth="1"/>
    <col min="8" max="8" width="15.140625" customWidth="1"/>
    <col min="9" max="9" width="18.7109375" customWidth="1"/>
    <col min="10" max="10" width="51.28515625" customWidth="1"/>
    <col min="11" max="11" width="44.28515625" customWidth="1"/>
    <col min="12" max="12" width="8.28515625" customWidth="1"/>
    <col min="13" max="13" width="13.7109375" customWidth="1"/>
    <col min="14" max="14" width="15.140625" customWidth="1"/>
    <col min="15" max="15" width="12.7109375" customWidth="1"/>
    <col min="16" max="18" width="0" hidden="1" customWidth="1"/>
  </cols>
  <sheetData>
    <row r="1" spans="1:19">
      <c r="A1" s="1"/>
      <c r="B1" s="2"/>
      <c r="C1" s="3" t="s">
        <v>0</v>
      </c>
      <c r="D1" s="4"/>
      <c r="E1" s="2"/>
      <c r="F1" s="2"/>
      <c r="G1" s="5"/>
      <c r="H1" s="6"/>
      <c r="I1" s="7"/>
      <c r="J1" s="8"/>
      <c r="K1" s="8"/>
      <c r="L1" s="9"/>
      <c r="M1" s="10"/>
      <c r="N1" s="11"/>
      <c r="O1" s="11"/>
    </row>
    <row r="2" spans="1:19">
      <c r="A2" s="1" t="s">
        <v>1</v>
      </c>
      <c r="B2" s="1"/>
      <c r="C2" s="1"/>
      <c r="D2" s="1"/>
      <c r="E2" s="6"/>
      <c r="F2" s="6"/>
      <c r="G2" s="5"/>
      <c r="H2" s="6"/>
      <c r="I2" s="7"/>
      <c r="J2" s="8"/>
      <c r="K2" s="8"/>
      <c r="L2" s="9"/>
      <c r="M2" s="10"/>
      <c r="N2" s="11"/>
      <c r="O2" s="11"/>
    </row>
    <row r="3" spans="1:19">
      <c r="A3" s="104" t="s">
        <v>596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"/>
      <c r="O3" s="1"/>
    </row>
    <row r="4" spans="1:19">
      <c r="A4" s="12"/>
      <c r="B4" s="12"/>
      <c r="C4" s="12"/>
      <c r="D4" s="7"/>
      <c r="E4" s="7"/>
      <c r="F4" s="7"/>
      <c r="G4" s="13"/>
      <c r="H4" s="7"/>
      <c r="I4" s="7"/>
      <c r="J4" s="8" t="s">
        <v>3</v>
      </c>
      <c r="K4" s="8"/>
      <c r="L4" s="8"/>
      <c r="M4" s="14"/>
      <c r="N4" s="14"/>
      <c r="O4" s="14"/>
    </row>
    <row r="5" spans="1:19">
      <c r="A5" s="15" t="s">
        <v>34</v>
      </c>
      <c r="B5" s="15"/>
      <c r="C5" s="15"/>
      <c r="D5" s="14"/>
      <c r="E5" s="14"/>
      <c r="F5" s="14"/>
      <c r="G5" s="16"/>
      <c r="H5" s="14"/>
      <c r="I5" s="14"/>
      <c r="J5" s="17" t="s">
        <v>4</v>
      </c>
      <c r="K5" s="17"/>
      <c r="L5" s="17"/>
      <c r="M5" s="14"/>
      <c r="N5" s="14"/>
      <c r="O5" s="14"/>
    </row>
    <row r="6" spans="1:19">
      <c r="A6" s="15" t="s">
        <v>5</v>
      </c>
      <c r="B6" s="18"/>
      <c r="C6" s="15"/>
      <c r="D6" s="19"/>
      <c r="E6" s="19"/>
      <c r="F6" s="19"/>
      <c r="G6" s="20"/>
      <c r="H6" s="19"/>
      <c r="I6" s="14" t="s">
        <v>6</v>
      </c>
      <c r="J6" s="17" t="s">
        <v>197</v>
      </c>
      <c r="K6" s="17"/>
      <c r="L6" s="17"/>
      <c r="M6" s="14"/>
      <c r="N6" s="14"/>
      <c r="O6" s="14"/>
    </row>
    <row r="7" spans="1:19">
      <c r="A7" s="15"/>
      <c r="B7" s="15"/>
      <c r="C7" s="15"/>
      <c r="D7" s="19"/>
      <c r="E7" s="19"/>
      <c r="F7" s="19"/>
      <c r="G7" s="20"/>
      <c r="H7" s="19"/>
      <c r="I7" s="14" t="s">
        <v>7</v>
      </c>
      <c r="J7" s="78" t="s">
        <v>198</v>
      </c>
      <c r="K7" s="78"/>
      <c r="L7" s="17"/>
      <c r="M7" s="14"/>
      <c r="N7" s="14"/>
      <c r="O7" s="14"/>
    </row>
    <row r="8" spans="1:19" ht="24.75">
      <c r="A8" s="12" t="s">
        <v>8</v>
      </c>
      <c r="B8" s="12" t="s">
        <v>9</v>
      </c>
      <c r="C8" s="12" t="s">
        <v>10</v>
      </c>
      <c r="D8" s="21" t="s">
        <v>11</v>
      </c>
      <c r="E8" s="22" t="s">
        <v>12</v>
      </c>
      <c r="F8" s="22" t="s">
        <v>163</v>
      </c>
      <c r="G8" s="13" t="s">
        <v>13</v>
      </c>
      <c r="H8" s="23" t="s">
        <v>14</v>
      </c>
      <c r="I8" s="7" t="s">
        <v>15</v>
      </c>
      <c r="J8" s="12" t="s">
        <v>16</v>
      </c>
      <c r="K8" s="12" t="s">
        <v>207</v>
      </c>
      <c r="L8" s="12" t="s">
        <v>17</v>
      </c>
      <c r="M8" s="7" t="s">
        <v>18</v>
      </c>
      <c r="N8" s="7" t="s">
        <v>19</v>
      </c>
      <c r="O8" s="7" t="s">
        <v>20</v>
      </c>
    </row>
    <row r="9" spans="1:19">
      <c r="A9" s="19" t="s">
        <v>35</v>
      </c>
      <c r="B9" s="19" t="s">
        <v>45</v>
      </c>
      <c r="C9" s="24" t="s">
        <v>46</v>
      </c>
      <c r="D9" s="25"/>
      <c r="E9" s="26">
        <v>10100</v>
      </c>
      <c r="F9" s="91">
        <v>314.99999999999915</v>
      </c>
      <c r="G9" s="27">
        <f>JUNE!M9</f>
        <v>0</v>
      </c>
      <c r="H9" s="27">
        <f>D9+E9+G9+F9</f>
        <v>10415</v>
      </c>
      <c r="I9" s="26">
        <f>10415</f>
        <v>10415</v>
      </c>
      <c r="J9" s="93" t="s">
        <v>600</v>
      </c>
      <c r="K9" s="94" t="s">
        <v>601</v>
      </c>
      <c r="L9" s="29" t="s">
        <v>595</v>
      </c>
      <c r="M9" s="27">
        <f t="shared" ref="M9:M35" si="0">H9-I9</f>
        <v>0</v>
      </c>
      <c r="N9" s="30"/>
      <c r="O9" s="31"/>
    </row>
    <row r="10" spans="1:19">
      <c r="A10" s="32" t="s">
        <v>37</v>
      </c>
      <c r="B10" s="32" t="s">
        <v>47</v>
      </c>
      <c r="C10" s="24" t="s">
        <v>465</v>
      </c>
      <c r="D10" s="33"/>
      <c r="E10" s="26">
        <v>10100</v>
      </c>
      <c r="F10" s="91">
        <v>270.00000000000171</v>
      </c>
      <c r="G10" s="27">
        <f>JUNE!M10</f>
        <v>-15.000000000001819</v>
      </c>
      <c r="H10" s="27">
        <f t="shared" ref="H10:H56" si="1">D10+E10+G10+F10</f>
        <v>10355</v>
      </c>
      <c r="I10" s="92">
        <f>10300</f>
        <v>10300</v>
      </c>
      <c r="J10" s="93" t="s">
        <v>645</v>
      </c>
      <c r="K10" s="94" t="s">
        <v>646</v>
      </c>
      <c r="L10" s="29" t="s">
        <v>595</v>
      </c>
      <c r="M10" s="27">
        <f t="shared" si="0"/>
        <v>55</v>
      </c>
      <c r="N10" s="30"/>
      <c r="O10" s="31" t="s">
        <v>238</v>
      </c>
    </row>
    <row r="11" spans="1:19">
      <c r="A11" s="19" t="s">
        <v>36</v>
      </c>
      <c r="B11" s="32" t="s">
        <v>477</v>
      </c>
      <c r="C11" s="24" t="s">
        <v>284</v>
      </c>
      <c r="D11" s="34"/>
      <c r="E11" s="26">
        <v>10100</v>
      </c>
      <c r="F11" s="91">
        <v>225</v>
      </c>
      <c r="G11" s="27">
        <f>JUNE!M11</f>
        <v>1095</v>
      </c>
      <c r="H11" s="27">
        <f t="shared" si="1"/>
        <v>11420</v>
      </c>
      <c r="I11" s="26">
        <v>10325</v>
      </c>
      <c r="J11" s="93" t="s">
        <v>613</v>
      </c>
      <c r="K11" s="94">
        <v>46211</v>
      </c>
      <c r="L11" s="29" t="s">
        <v>595</v>
      </c>
      <c r="M11" s="27">
        <f t="shared" si="0"/>
        <v>1095</v>
      </c>
      <c r="N11" s="30"/>
      <c r="O11" s="31"/>
    </row>
    <row r="12" spans="1:19">
      <c r="A12" s="19" t="s">
        <v>38</v>
      </c>
      <c r="B12" s="19" t="s">
        <v>506</v>
      </c>
      <c r="C12" s="24" t="s">
        <v>507</v>
      </c>
      <c r="D12" s="34"/>
      <c r="E12" s="26">
        <v>10100</v>
      </c>
      <c r="F12" s="91">
        <v>209.99999999999872</v>
      </c>
      <c r="G12" s="27">
        <f>JUNE!M12</f>
        <v>455</v>
      </c>
      <c r="H12" s="27">
        <f t="shared" si="1"/>
        <v>10764.999999999998</v>
      </c>
      <c r="I12" s="26">
        <v>15410</v>
      </c>
      <c r="J12" s="93" t="s">
        <v>615</v>
      </c>
      <c r="K12" s="94">
        <v>46209</v>
      </c>
      <c r="L12" s="29" t="s">
        <v>595</v>
      </c>
      <c r="M12" s="27">
        <f t="shared" si="0"/>
        <v>-4645.0000000000018</v>
      </c>
      <c r="N12" s="35"/>
      <c r="O12" s="31" t="s">
        <v>238</v>
      </c>
    </row>
    <row r="13" spans="1:19">
      <c r="A13" s="19" t="s">
        <v>666</v>
      </c>
      <c r="B13" s="32" t="s">
        <v>50</v>
      </c>
      <c r="C13" s="36" t="s">
        <v>51</v>
      </c>
      <c r="D13" s="33"/>
      <c r="E13" s="26">
        <v>10100</v>
      </c>
      <c r="F13" s="91">
        <v>750</v>
      </c>
      <c r="G13" s="27">
        <f>JUNE!M13</f>
        <v>2110</v>
      </c>
      <c r="H13" s="27">
        <f t="shared" si="1"/>
        <v>12960</v>
      </c>
      <c r="I13" s="92"/>
      <c r="J13" s="93"/>
      <c r="K13" s="93"/>
      <c r="L13" s="29" t="s">
        <v>595</v>
      </c>
      <c r="M13" s="27">
        <f t="shared" si="0"/>
        <v>12960</v>
      </c>
      <c r="N13" s="30"/>
      <c r="O13" s="31" t="s">
        <v>238</v>
      </c>
      <c r="S13" t="s">
        <v>719</v>
      </c>
    </row>
    <row r="14" spans="1:19">
      <c r="A14" s="19" t="s">
        <v>40</v>
      </c>
      <c r="B14" s="19" t="s">
        <v>509</v>
      </c>
      <c r="C14" s="24" t="s">
        <v>558</v>
      </c>
      <c r="D14" s="34"/>
      <c r="E14" s="26">
        <v>10100</v>
      </c>
      <c r="F14" s="91">
        <v>285.00000000000085</v>
      </c>
      <c r="G14" s="27">
        <f>JUNE!M14</f>
        <v>920</v>
      </c>
      <c r="H14" s="27">
        <f t="shared" si="1"/>
        <v>11305</v>
      </c>
      <c r="I14" s="26">
        <f>10325+10480</f>
        <v>20805</v>
      </c>
      <c r="J14" s="95" t="s">
        <v>649</v>
      </c>
      <c r="K14" s="95" t="s">
        <v>650</v>
      </c>
      <c r="L14" s="29" t="s">
        <v>595</v>
      </c>
      <c r="M14" s="27">
        <f t="shared" si="0"/>
        <v>-9500</v>
      </c>
      <c r="N14" s="35"/>
      <c r="O14" s="31"/>
    </row>
    <row r="15" spans="1:19" s="44" customFormat="1">
      <c r="A15" s="38" t="s">
        <v>41</v>
      </c>
      <c r="B15" s="2" t="s">
        <v>467</v>
      </c>
      <c r="C15" s="39" t="s">
        <v>468</v>
      </c>
      <c r="D15" s="40"/>
      <c r="E15" s="41">
        <v>10100</v>
      </c>
      <c r="F15" s="91">
        <v>14.999999999999147</v>
      </c>
      <c r="G15" s="27">
        <f>JUNE!M15</f>
        <v>-10150</v>
      </c>
      <c r="H15" s="27">
        <f t="shared" si="1"/>
        <v>-35.000000000000853</v>
      </c>
      <c r="I15" s="26">
        <f>10000</f>
        <v>10000</v>
      </c>
      <c r="J15" s="93" t="s">
        <v>701</v>
      </c>
      <c r="K15" s="94" t="s">
        <v>641</v>
      </c>
      <c r="L15" s="29" t="s">
        <v>595</v>
      </c>
      <c r="M15" s="27">
        <f t="shared" si="0"/>
        <v>-10035</v>
      </c>
      <c r="N15" s="42"/>
      <c r="O15" s="43"/>
    </row>
    <row r="16" spans="1:19">
      <c r="A16" s="19" t="s">
        <v>42</v>
      </c>
      <c r="B16" s="19" t="s">
        <v>56</v>
      </c>
      <c r="C16" s="24" t="s">
        <v>470</v>
      </c>
      <c r="D16" s="34"/>
      <c r="E16" s="26">
        <v>12100</v>
      </c>
      <c r="F16" s="91">
        <v>675</v>
      </c>
      <c r="G16" s="27">
        <f>JUNE!M16</f>
        <v>50</v>
      </c>
      <c r="H16" s="27">
        <f t="shared" si="1"/>
        <v>12825</v>
      </c>
      <c r="I16" s="92">
        <v>12224</v>
      </c>
      <c r="J16" s="95"/>
      <c r="K16" s="95" t="s">
        <v>721</v>
      </c>
      <c r="L16" s="29" t="s">
        <v>595</v>
      </c>
      <c r="M16" s="27">
        <f t="shared" si="0"/>
        <v>601</v>
      </c>
      <c r="N16" s="15"/>
      <c r="O16" s="31" t="s">
        <v>238</v>
      </c>
    </row>
    <row r="17" spans="1:17">
      <c r="A17" s="19" t="s">
        <v>43</v>
      </c>
      <c r="B17" s="19" t="s">
        <v>58</v>
      </c>
      <c r="C17" s="24" t="s">
        <v>59</v>
      </c>
      <c r="D17" s="34"/>
      <c r="E17" s="26">
        <v>14100</v>
      </c>
      <c r="F17" s="91">
        <v>1710.0000000000009</v>
      </c>
      <c r="G17" s="27">
        <f>JUNE!M17</f>
        <v>0</v>
      </c>
      <c r="H17" s="27">
        <f t="shared" si="1"/>
        <v>15810</v>
      </c>
      <c r="I17" s="26">
        <v>14000</v>
      </c>
      <c r="J17" s="93" t="s">
        <v>618</v>
      </c>
      <c r="K17" s="94" t="s">
        <v>619</v>
      </c>
      <c r="L17" s="29" t="s">
        <v>595</v>
      </c>
      <c r="M17" s="27">
        <f t="shared" si="0"/>
        <v>1810</v>
      </c>
      <c r="N17" s="30"/>
      <c r="O17" s="31"/>
    </row>
    <row r="18" spans="1:17">
      <c r="A18" s="19" t="s">
        <v>44</v>
      </c>
      <c r="B18" s="19" t="s">
        <v>60</v>
      </c>
      <c r="C18" s="24" t="s">
        <v>473</v>
      </c>
      <c r="D18" s="34"/>
      <c r="E18" s="26">
        <v>10100</v>
      </c>
      <c r="F18" s="91">
        <v>494.99999999999955</v>
      </c>
      <c r="G18" s="27">
        <f>JUNE!M18</f>
        <v>460</v>
      </c>
      <c r="H18" s="27">
        <f t="shared" si="1"/>
        <v>11055</v>
      </c>
      <c r="I18" s="26">
        <v>10495</v>
      </c>
      <c r="J18" s="93" t="s">
        <v>620</v>
      </c>
      <c r="K18" s="94">
        <v>46204</v>
      </c>
      <c r="L18" s="29" t="s">
        <v>595</v>
      </c>
      <c r="M18" s="27">
        <f t="shared" si="0"/>
        <v>560</v>
      </c>
      <c r="N18" s="45"/>
      <c r="O18" s="31" t="s">
        <v>238</v>
      </c>
    </row>
    <row r="19" spans="1:17">
      <c r="A19" s="32" t="s">
        <v>62</v>
      </c>
      <c r="B19" s="32" t="s">
        <v>63</v>
      </c>
      <c r="C19" s="46" t="s">
        <v>64</v>
      </c>
      <c r="D19" s="33"/>
      <c r="E19" s="26">
        <v>10100</v>
      </c>
      <c r="F19" s="91">
        <v>60.000000000000853</v>
      </c>
      <c r="G19" s="27">
        <f>JUNE!M19</f>
        <v>105</v>
      </c>
      <c r="H19" s="27">
        <f t="shared" si="1"/>
        <v>10265</v>
      </c>
      <c r="I19" s="47">
        <v>10160</v>
      </c>
      <c r="J19" s="93" t="s">
        <v>621</v>
      </c>
      <c r="K19" s="94">
        <v>46204</v>
      </c>
      <c r="L19" s="29" t="s">
        <v>595</v>
      </c>
      <c r="M19" s="27">
        <f t="shared" si="0"/>
        <v>105</v>
      </c>
      <c r="N19" s="15"/>
      <c r="O19" s="31"/>
    </row>
    <row r="20" spans="1:17">
      <c r="A20" s="19" t="s">
        <v>65</v>
      </c>
      <c r="B20" s="19" t="s">
        <v>66</v>
      </c>
      <c r="C20" s="24" t="s">
        <v>67</v>
      </c>
      <c r="D20" s="33"/>
      <c r="E20" s="26">
        <v>10100</v>
      </c>
      <c r="F20" s="91">
        <v>284.99999999999875</v>
      </c>
      <c r="G20" s="27">
        <f>JUNE!M20</f>
        <v>0</v>
      </c>
      <c r="H20" s="27">
        <f t="shared" si="1"/>
        <v>10384.999999999998</v>
      </c>
      <c r="I20" s="26">
        <v>10385</v>
      </c>
      <c r="J20" s="96" t="s">
        <v>632</v>
      </c>
      <c r="K20" s="94">
        <v>46212</v>
      </c>
      <c r="L20" s="29" t="s">
        <v>595</v>
      </c>
      <c r="M20" s="27">
        <f t="shared" si="0"/>
        <v>0</v>
      </c>
      <c r="N20" s="30"/>
      <c r="O20" s="31" t="s">
        <v>238</v>
      </c>
    </row>
    <row r="21" spans="1:17">
      <c r="A21" s="19" t="s">
        <v>68</v>
      </c>
      <c r="B21" s="19" t="s">
        <v>302</v>
      </c>
      <c r="C21" s="24" t="s">
        <v>474</v>
      </c>
      <c r="D21" s="34"/>
      <c r="E21" s="26">
        <v>10100</v>
      </c>
      <c r="F21" s="91">
        <v>284.99999999999977</v>
      </c>
      <c r="G21" s="27">
        <f>JUNE!M21</f>
        <v>400</v>
      </c>
      <c r="H21" s="27">
        <f t="shared" si="1"/>
        <v>10785</v>
      </c>
      <c r="I21" s="26">
        <v>10300</v>
      </c>
      <c r="J21" s="93" t="s">
        <v>611</v>
      </c>
      <c r="K21" s="94">
        <v>46213</v>
      </c>
      <c r="L21" s="29" t="s">
        <v>595</v>
      </c>
      <c r="M21" s="27">
        <f t="shared" si="0"/>
        <v>485</v>
      </c>
      <c r="N21" s="49"/>
      <c r="O21" s="31" t="s">
        <v>238</v>
      </c>
    </row>
    <row r="22" spans="1:17">
      <c r="A22" s="19" t="s">
        <v>71</v>
      </c>
      <c r="B22" s="19" t="s">
        <v>604</v>
      </c>
      <c r="C22" s="24" t="s">
        <v>605</v>
      </c>
      <c r="D22" s="34"/>
      <c r="E22" s="26">
        <v>10100</v>
      </c>
      <c r="F22" s="91">
        <v>675</v>
      </c>
      <c r="G22" s="27">
        <f>JUNE!M22</f>
        <v>-455</v>
      </c>
      <c r="H22" s="27">
        <f t="shared" si="1"/>
        <v>10320</v>
      </c>
      <c r="I22" s="26">
        <v>10100</v>
      </c>
      <c r="J22" s="93" t="s">
        <v>624</v>
      </c>
      <c r="K22" s="94">
        <v>46207</v>
      </c>
      <c r="L22" s="29" t="s">
        <v>595</v>
      </c>
      <c r="M22" s="27">
        <f t="shared" si="0"/>
        <v>220</v>
      </c>
      <c r="N22" s="30"/>
      <c r="O22" s="31" t="s">
        <v>238</v>
      </c>
    </row>
    <row r="23" spans="1:17">
      <c r="A23" s="19" t="s">
        <v>74</v>
      </c>
      <c r="B23" s="32" t="s">
        <v>233</v>
      </c>
      <c r="C23" s="24" t="s">
        <v>476</v>
      </c>
      <c r="D23" s="34"/>
      <c r="E23" s="26">
        <v>10100</v>
      </c>
      <c r="F23" s="91">
        <v>839.99999999999909</v>
      </c>
      <c r="G23" s="27">
        <f>JUNE!M23</f>
        <v>5225</v>
      </c>
      <c r="H23" s="27">
        <f t="shared" si="1"/>
        <v>16165</v>
      </c>
      <c r="I23" s="92">
        <v>22500</v>
      </c>
      <c r="J23" s="95" t="s">
        <v>614</v>
      </c>
      <c r="K23" s="97">
        <v>46198</v>
      </c>
      <c r="L23" s="29" t="s">
        <v>595</v>
      </c>
      <c r="M23" s="27">
        <f t="shared" si="0"/>
        <v>-6335</v>
      </c>
      <c r="N23" s="30"/>
      <c r="O23" s="77" t="s">
        <v>297</v>
      </c>
    </row>
    <row r="24" spans="1:17">
      <c r="A24" s="19" t="s">
        <v>77</v>
      </c>
      <c r="B24" s="19" t="s">
        <v>78</v>
      </c>
      <c r="C24" s="24" t="s">
        <v>299</v>
      </c>
      <c r="D24" s="34"/>
      <c r="E24" s="26">
        <v>10100</v>
      </c>
      <c r="F24" s="91">
        <v>359.99999999999875</v>
      </c>
      <c r="G24" s="27">
        <f>JUNE!M24</f>
        <v>-105</v>
      </c>
      <c r="H24" s="27">
        <f t="shared" si="1"/>
        <v>10354.999999999998</v>
      </c>
      <c r="I24" s="26">
        <v>10460</v>
      </c>
      <c r="J24" s="93" t="s">
        <v>628</v>
      </c>
      <c r="K24" s="94">
        <v>46210</v>
      </c>
      <c r="L24" s="29" t="s">
        <v>595</v>
      </c>
      <c r="M24" s="27">
        <f t="shared" si="0"/>
        <v>-105.00000000000182</v>
      </c>
      <c r="N24" s="30"/>
      <c r="O24" s="31" t="s">
        <v>238</v>
      </c>
      <c r="P24" t="s">
        <v>22</v>
      </c>
      <c r="Q24">
        <f>I57/H57*100</f>
        <v>125.25101772661486</v>
      </c>
    </row>
    <row r="25" spans="1:17">
      <c r="A25" s="19" t="s">
        <v>80</v>
      </c>
      <c r="B25" s="19" t="s">
        <v>81</v>
      </c>
      <c r="C25" s="46" t="s">
        <v>82</v>
      </c>
      <c r="D25" s="33"/>
      <c r="E25" s="26">
        <v>10100</v>
      </c>
      <c r="F25" s="91">
        <v>330.00000000000256</v>
      </c>
      <c r="G25" s="27">
        <f>JUNE!M25</f>
        <v>668.99999999999818</v>
      </c>
      <c r="H25" s="27">
        <f t="shared" si="1"/>
        <v>11099</v>
      </c>
      <c r="I25" s="26">
        <f>10330</f>
        <v>10330</v>
      </c>
      <c r="J25" s="93" t="s">
        <v>608</v>
      </c>
      <c r="K25" s="94">
        <v>46208</v>
      </c>
      <c r="L25" s="29" t="s">
        <v>595</v>
      </c>
      <c r="M25" s="27">
        <f t="shared" si="0"/>
        <v>769</v>
      </c>
      <c r="N25" s="30"/>
      <c r="O25" s="31" t="s">
        <v>238</v>
      </c>
    </row>
    <row r="26" spans="1:17">
      <c r="A26" s="19" t="s">
        <v>83</v>
      </c>
      <c r="B26" s="19" t="s">
        <v>84</v>
      </c>
      <c r="C26" s="24" t="s">
        <v>85</v>
      </c>
      <c r="D26" s="33"/>
      <c r="E26" s="26">
        <v>10100</v>
      </c>
      <c r="F26" s="91">
        <v>119.99999999999744</v>
      </c>
      <c r="G26" s="27">
        <f>JUNE!M26</f>
        <v>0</v>
      </c>
      <c r="H26" s="27">
        <f t="shared" si="1"/>
        <v>10219.999999999998</v>
      </c>
      <c r="I26" s="26">
        <v>10220</v>
      </c>
      <c r="J26" s="93" t="s">
        <v>626</v>
      </c>
      <c r="K26" s="94">
        <v>46209</v>
      </c>
      <c r="L26" s="29" t="s">
        <v>595</v>
      </c>
      <c r="M26" s="27">
        <f t="shared" si="0"/>
        <v>0</v>
      </c>
      <c r="N26" s="30"/>
      <c r="O26" s="31" t="s">
        <v>238</v>
      </c>
    </row>
    <row r="27" spans="1:17">
      <c r="A27" s="19" t="s">
        <v>86</v>
      </c>
      <c r="B27" s="19" t="s">
        <v>87</v>
      </c>
      <c r="C27" s="24" t="s">
        <v>88</v>
      </c>
      <c r="D27" s="33"/>
      <c r="E27" s="26">
        <v>10100</v>
      </c>
      <c r="F27" s="91">
        <v>435.00000000000085</v>
      </c>
      <c r="G27" s="27">
        <f>JUNE!M27</f>
        <v>-680</v>
      </c>
      <c r="H27" s="27">
        <f t="shared" si="1"/>
        <v>9855</v>
      </c>
      <c r="I27" s="26">
        <v>10535</v>
      </c>
      <c r="J27" s="93" t="s">
        <v>625</v>
      </c>
      <c r="K27" s="94">
        <v>46208</v>
      </c>
      <c r="L27" s="29" t="s">
        <v>595</v>
      </c>
      <c r="M27" s="27">
        <f t="shared" si="0"/>
        <v>-680</v>
      </c>
      <c r="N27" s="30"/>
      <c r="O27" s="31" t="s">
        <v>238</v>
      </c>
    </row>
    <row r="28" spans="1:17">
      <c r="A28" s="19" t="s">
        <v>89</v>
      </c>
      <c r="B28" s="19" t="s">
        <v>90</v>
      </c>
      <c r="C28" s="24" t="s">
        <v>91</v>
      </c>
      <c r="D28" s="33"/>
      <c r="E28" s="26">
        <v>10100</v>
      </c>
      <c r="F28" s="91">
        <v>494.99999999999955</v>
      </c>
      <c r="G28" s="27">
        <f>JUNE!M28</f>
        <v>-9305</v>
      </c>
      <c r="H28" s="27">
        <f t="shared" si="1"/>
        <v>1289.9999999999995</v>
      </c>
      <c r="I28" s="26">
        <f>10000</f>
        <v>10000</v>
      </c>
      <c r="J28" s="93" t="s">
        <v>685</v>
      </c>
      <c r="K28" s="94">
        <v>46230</v>
      </c>
      <c r="L28" s="29" t="s">
        <v>595</v>
      </c>
      <c r="M28" s="27">
        <f t="shared" si="0"/>
        <v>-8710</v>
      </c>
      <c r="N28" s="30"/>
      <c r="O28" s="31"/>
      <c r="P28" t="s">
        <v>22</v>
      </c>
      <c r="Q28">
        <v>75.570748382370894</v>
      </c>
    </row>
    <row r="29" spans="1:17">
      <c r="A29" s="19" t="s">
        <v>92</v>
      </c>
      <c r="B29" s="19" t="s">
        <v>228</v>
      </c>
      <c r="C29" s="24"/>
      <c r="D29" s="33"/>
      <c r="E29" s="26"/>
      <c r="F29" s="91"/>
      <c r="G29" s="27">
        <f>JUNE!M29</f>
        <v>0</v>
      </c>
      <c r="H29" s="27">
        <f t="shared" si="1"/>
        <v>0</v>
      </c>
      <c r="I29" s="26"/>
      <c r="J29" s="93"/>
      <c r="K29" s="93"/>
      <c r="L29" s="29" t="s">
        <v>595</v>
      </c>
      <c r="M29" s="27">
        <f t="shared" si="0"/>
        <v>0</v>
      </c>
      <c r="N29" s="30"/>
      <c r="O29" s="31"/>
    </row>
    <row r="30" spans="1:17">
      <c r="A30" s="19" t="s">
        <v>95</v>
      </c>
      <c r="B30" s="19" t="s">
        <v>93</v>
      </c>
      <c r="C30" s="24" t="s">
        <v>94</v>
      </c>
      <c r="D30" s="33"/>
      <c r="E30" s="26">
        <v>10100</v>
      </c>
      <c r="F30" s="91">
        <v>180.00000000000043</v>
      </c>
      <c r="G30" s="27">
        <f>JUNE!M30</f>
        <v>104.99999999999818</v>
      </c>
      <c r="H30" s="27">
        <f t="shared" si="1"/>
        <v>10384.999999999998</v>
      </c>
      <c r="I30" s="26">
        <f>10300+10300</f>
        <v>20600</v>
      </c>
      <c r="J30" s="95" t="s">
        <v>697</v>
      </c>
      <c r="K30" s="97" t="s">
        <v>698</v>
      </c>
      <c r="L30" s="29" t="s">
        <v>595</v>
      </c>
      <c r="M30" s="27">
        <f t="shared" si="0"/>
        <v>-10215.000000000002</v>
      </c>
      <c r="N30" s="30"/>
      <c r="O30" s="31" t="s">
        <v>238</v>
      </c>
      <c r="P30" s="50" t="s">
        <v>23</v>
      </c>
    </row>
    <row r="31" spans="1:17">
      <c r="A31" s="19" t="s">
        <v>98</v>
      </c>
      <c r="B31" s="19" t="s">
        <v>96</v>
      </c>
      <c r="C31" s="24" t="s">
        <v>97</v>
      </c>
      <c r="D31" s="33"/>
      <c r="E31" s="26">
        <v>10100</v>
      </c>
      <c r="F31" s="91">
        <v>29.999999999999893</v>
      </c>
      <c r="G31" s="27">
        <f>JUNE!M31</f>
        <v>-8</v>
      </c>
      <c r="H31" s="27">
        <f t="shared" si="1"/>
        <v>10122</v>
      </c>
      <c r="I31" s="26">
        <f>10130</f>
        <v>10130</v>
      </c>
      <c r="J31" s="93" t="s">
        <v>637</v>
      </c>
      <c r="K31" s="94">
        <v>46149</v>
      </c>
      <c r="L31" s="29" t="s">
        <v>595</v>
      </c>
      <c r="M31" s="27">
        <f t="shared" si="0"/>
        <v>-8</v>
      </c>
      <c r="N31" s="30"/>
      <c r="O31" s="31"/>
    </row>
    <row r="32" spans="1:17">
      <c r="A32" s="19" t="s">
        <v>99</v>
      </c>
      <c r="B32" s="32" t="s">
        <v>192</v>
      </c>
      <c r="C32" s="36" t="s">
        <v>193</v>
      </c>
      <c r="D32" s="33"/>
      <c r="E32" s="26">
        <v>10100</v>
      </c>
      <c r="F32" s="91">
        <v>900</v>
      </c>
      <c r="G32" s="27">
        <f>JUNE!M32</f>
        <v>1384.9999999999964</v>
      </c>
      <c r="H32" s="27">
        <f t="shared" si="1"/>
        <v>12384.999999999996</v>
      </c>
      <c r="I32" s="26">
        <v>10100</v>
      </c>
      <c r="J32" s="96" t="s">
        <v>616</v>
      </c>
      <c r="K32" s="94">
        <v>46215</v>
      </c>
      <c r="L32" s="29" t="s">
        <v>595</v>
      </c>
      <c r="M32" s="27">
        <f t="shared" si="0"/>
        <v>2284.9999999999964</v>
      </c>
      <c r="N32" s="30"/>
      <c r="O32" s="31" t="s">
        <v>238</v>
      </c>
    </row>
    <row r="33" spans="1:20">
      <c r="A33" s="19" t="s">
        <v>102</v>
      </c>
      <c r="B33" s="19" t="s">
        <v>488</v>
      </c>
      <c r="C33" s="24" t="s">
        <v>101</v>
      </c>
      <c r="D33" s="33"/>
      <c r="E33" s="26">
        <v>10100</v>
      </c>
      <c r="F33" s="91">
        <v>104.99999999999829</v>
      </c>
      <c r="G33" s="27">
        <f>JUNE!M33</f>
        <v>-154.99999999999818</v>
      </c>
      <c r="H33" s="27">
        <f t="shared" si="1"/>
        <v>10050</v>
      </c>
      <c r="I33" s="26">
        <f>10205</f>
        <v>10205</v>
      </c>
      <c r="J33" s="93" t="s">
        <v>599</v>
      </c>
      <c r="K33" s="94">
        <v>46119</v>
      </c>
      <c r="L33" s="29" t="s">
        <v>595</v>
      </c>
      <c r="M33" s="27">
        <f t="shared" si="0"/>
        <v>-155</v>
      </c>
      <c r="N33" s="30"/>
      <c r="O33" s="31" t="s">
        <v>238</v>
      </c>
    </row>
    <row r="34" spans="1:20">
      <c r="A34" s="19" t="s">
        <v>105</v>
      </c>
      <c r="B34" s="19" t="s">
        <v>103</v>
      </c>
      <c r="C34" s="24" t="s">
        <v>104</v>
      </c>
      <c r="D34" s="33"/>
      <c r="E34" s="26">
        <v>10100</v>
      </c>
      <c r="F34" s="91">
        <v>120.00000000000171</v>
      </c>
      <c r="G34" s="27">
        <f>JUNE!M34</f>
        <v>110</v>
      </c>
      <c r="H34" s="27">
        <f t="shared" si="1"/>
        <v>10330.000000000002</v>
      </c>
      <c r="I34" s="26">
        <v>10220</v>
      </c>
      <c r="J34" s="93" t="s">
        <v>634</v>
      </c>
      <c r="K34" s="94">
        <v>46213</v>
      </c>
      <c r="L34" s="29" t="s">
        <v>595</v>
      </c>
      <c r="M34" s="27">
        <f t="shared" si="0"/>
        <v>110.00000000000182</v>
      </c>
      <c r="N34" s="30"/>
      <c r="O34" s="31"/>
    </row>
    <row r="35" spans="1:20">
      <c r="A35" s="19" t="s">
        <v>108</v>
      </c>
      <c r="B35" s="19" t="s">
        <v>106</v>
      </c>
      <c r="C35" s="24" t="s">
        <v>107</v>
      </c>
      <c r="D35" s="33"/>
      <c r="E35" s="26">
        <v>10100</v>
      </c>
      <c r="F35" s="91">
        <v>120.00000000000171</v>
      </c>
      <c r="G35" s="27">
        <f>JUNE!M35</f>
        <v>-330.00000000000182</v>
      </c>
      <c r="H35" s="27">
        <f t="shared" si="1"/>
        <v>9890</v>
      </c>
      <c r="I35" s="26">
        <v>10220</v>
      </c>
      <c r="J35" s="93" t="s">
        <v>635</v>
      </c>
      <c r="K35" s="94">
        <v>46207</v>
      </c>
      <c r="L35" s="29" t="s">
        <v>595</v>
      </c>
      <c r="M35" s="27">
        <f t="shared" si="0"/>
        <v>-330</v>
      </c>
      <c r="N35" s="30"/>
      <c r="O35" s="31"/>
    </row>
    <row r="36" spans="1:20">
      <c r="A36" s="19" t="s">
        <v>111</v>
      </c>
      <c r="B36" s="19" t="s">
        <v>109</v>
      </c>
      <c r="C36" s="24" t="s">
        <v>110</v>
      </c>
      <c r="D36" s="33"/>
      <c r="E36" s="26">
        <v>10100</v>
      </c>
      <c r="F36" s="91">
        <v>89.999999999999147</v>
      </c>
      <c r="G36" s="27">
        <f>JUNE!M36</f>
        <v>-10294.999999999996</v>
      </c>
      <c r="H36" s="27">
        <f t="shared" si="1"/>
        <v>-104.99999999999721</v>
      </c>
      <c r="I36" s="26">
        <f>10090</f>
        <v>10090</v>
      </c>
      <c r="J36" s="93" t="s">
        <v>602</v>
      </c>
      <c r="K36" s="94">
        <v>46088</v>
      </c>
      <c r="L36" s="29" t="s">
        <v>595</v>
      </c>
      <c r="M36" s="27">
        <f>H36-I36</f>
        <v>-10194.999999999996</v>
      </c>
      <c r="N36" s="30"/>
      <c r="O36" s="31"/>
    </row>
    <row r="37" spans="1:20">
      <c r="A37" s="19" t="s">
        <v>114</v>
      </c>
      <c r="B37" s="19" t="s">
        <v>112</v>
      </c>
      <c r="C37" s="24" t="s">
        <v>113</v>
      </c>
      <c r="D37" s="33"/>
      <c r="E37" s="26">
        <v>10100</v>
      </c>
      <c r="F37" s="91">
        <v>225</v>
      </c>
      <c r="G37" s="27">
        <f>JUNE!M37</f>
        <v>35.000000000001819</v>
      </c>
      <c r="H37" s="27">
        <f t="shared" si="1"/>
        <v>10360.000000000002</v>
      </c>
      <c r="I37" s="91">
        <v>10325</v>
      </c>
      <c r="J37" s="93" t="s">
        <v>630</v>
      </c>
      <c r="K37" s="94">
        <v>46210</v>
      </c>
      <c r="L37" s="29" t="s">
        <v>595</v>
      </c>
      <c r="M37" s="27">
        <f>H37-I37</f>
        <v>35.000000000001819</v>
      </c>
      <c r="N37" s="30"/>
      <c r="O37" s="31"/>
    </row>
    <row r="38" spans="1:20">
      <c r="A38" s="19" t="s">
        <v>117</v>
      </c>
      <c r="B38" s="19" t="s">
        <v>115</v>
      </c>
      <c r="C38" s="24" t="s">
        <v>116</v>
      </c>
      <c r="D38" s="33"/>
      <c r="E38" s="26">
        <v>10100</v>
      </c>
      <c r="F38" s="91">
        <v>180.00000000000256</v>
      </c>
      <c r="G38" s="27">
        <f>JUNE!M38</f>
        <v>434.99999999999818</v>
      </c>
      <c r="H38" s="27">
        <f t="shared" si="1"/>
        <v>10715</v>
      </c>
      <c r="I38" s="26">
        <f>10595</f>
        <v>10595</v>
      </c>
      <c r="J38" s="93" t="s">
        <v>597</v>
      </c>
      <c r="K38" s="93" t="s">
        <v>598</v>
      </c>
      <c r="L38" s="29" t="s">
        <v>595</v>
      </c>
      <c r="M38" s="27">
        <f t="shared" ref="M38:M55" si="2">H38-I38</f>
        <v>120</v>
      </c>
      <c r="N38" s="30"/>
      <c r="O38" s="31"/>
    </row>
    <row r="39" spans="1:20">
      <c r="A39" s="19" t="s">
        <v>120</v>
      </c>
      <c r="B39" s="19" t="s">
        <v>118</v>
      </c>
      <c r="C39" s="24" t="s">
        <v>119</v>
      </c>
      <c r="D39" s="33"/>
      <c r="E39" s="26">
        <v>10100</v>
      </c>
      <c r="F39" s="91">
        <v>135.00000000000085</v>
      </c>
      <c r="G39" s="27">
        <f>JUNE!M39</f>
        <v>294.99999999999818</v>
      </c>
      <c r="H39" s="27">
        <f t="shared" si="1"/>
        <v>10529.999999999998</v>
      </c>
      <c r="I39" s="26">
        <v>10135</v>
      </c>
      <c r="J39" s="93" t="s">
        <v>629</v>
      </c>
      <c r="K39" s="94">
        <v>46210</v>
      </c>
      <c r="L39" s="29" t="s">
        <v>595</v>
      </c>
      <c r="M39" s="27">
        <f t="shared" si="2"/>
        <v>394.99999999999818</v>
      </c>
      <c r="N39" s="30"/>
      <c r="O39" s="31" t="s">
        <v>238</v>
      </c>
      <c r="T39" t="s">
        <v>512</v>
      </c>
    </row>
    <row r="40" spans="1:20">
      <c r="A40" s="19" t="s">
        <v>122</v>
      </c>
      <c r="B40" s="19" t="s">
        <v>174</v>
      </c>
      <c r="C40" s="24" t="s">
        <v>493</v>
      </c>
      <c r="D40" s="33"/>
      <c r="E40" s="26">
        <v>10100</v>
      </c>
      <c r="F40" s="91">
        <v>720</v>
      </c>
      <c r="G40" s="27">
        <f>JUNE!M40</f>
        <v>1650</v>
      </c>
      <c r="H40" s="27">
        <f t="shared" si="1"/>
        <v>12470</v>
      </c>
      <c r="I40" s="92">
        <f>10100+10100+1170+1650</f>
        <v>23020</v>
      </c>
      <c r="J40" s="93" t="s">
        <v>691</v>
      </c>
      <c r="K40" s="94" t="s">
        <v>642</v>
      </c>
      <c r="L40" s="29" t="s">
        <v>595</v>
      </c>
      <c r="M40" s="27">
        <f t="shared" si="2"/>
        <v>-10550</v>
      </c>
      <c r="N40" s="30"/>
      <c r="O40" s="31" t="s">
        <v>238</v>
      </c>
    </row>
    <row r="41" spans="1:20">
      <c r="A41" s="19" t="s">
        <v>123</v>
      </c>
      <c r="B41" s="19" t="s">
        <v>563</v>
      </c>
      <c r="C41" s="24" t="s">
        <v>564</v>
      </c>
      <c r="D41" s="33"/>
      <c r="E41" s="26">
        <v>10100</v>
      </c>
      <c r="F41" s="91">
        <v>89.999999999999147</v>
      </c>
      <c r="G41" s="27">
        <f>JUNE!M41</f>
        <v>100</v>
      </c>
      <c r="H41" s="27">
        <f t="shared" si="1"/>
        <v>10290</v>
      </c>
      <c r="I41" s="26">
        <f>8000</f>
        <v>8000</v>
      </c>
      <c r="J41" s="93" t="s">
        <v>639</v>
      </c>
      <c r="K41" s="93" t="s">
        <v>640</v>
      </c>
      <c r="L41" s="29" t="s">
        <v>595</v>
      </c>
      <c r="M41" s="27">
        <f t="shared" si="2"/>
        <v>2290</v>
      </c>
      <c r="N41" s="30" t="s">
        <v>636</v>
      </c>
      <c r="O41" s="31" t="s">
        <v>238</v>
      </c>
    </row>
    <row r="42" spans="1:20">
      <c r="A42" s="19" t="s">
        <v>126</v>
      </c>
      <c r="B42" s="19" t="s">
        <v>124</v>
      </c>
      <c r="C42" s="24" t="s">
        <v>125</v>
      </c>
      <c r="D42" s="33"/>
      <c r="E42" s="26">
        <v>10100</v>
      </c>
      <c r="F42" s="91">
        <v>164.99999999999915</v>
      </c>
      <c r="G42" s="27">
        <f>JUNE!M42</f>
        <v>148</v>
      </c>
      <c r="H42" s="27">
        <f t="shared" si="1"/>
        <v>10413</v>
      </c>
      <c r="I42" s="26">
        <v>10162</v>
      </c>
      <c r="J42" s="93" t="s">
        <v>622</v>
      </c>
      <c r="K42" s="94">
        <v>46204</v>
      </c>
      <c r="L42" s="29" t="s">
        <v>595</v>
      </c>
      <c r="M42" s="27">
        <f t="shared" si="2"/>
        <v>251</v>
      </c>
      <c r="N42" s="30"/>
      <c r="O42" s="31" t="s">
        <v>238</v>
      </c>
    </row>
    <row r="43" spans="1:20">
      <c r="A43" s="19" t="s">
        <v>127</v>
      </c>
      <c r="B43" s="19" t="s">
        <v>169</v>
      </c>
      <c r="C43" s="24" t="s">
        <v>170</v>
      </c>
      <c r="D43" s="33"/>
      <c r="E43" s="26">
        <v>10100</v>
      </c>
      <c r="F43" s="91">
        <v>44.999999999997442</v>
      </c>
      <c r="G43" s="27">
        <f>JUNE!M43</f>
        <v>205.00000000000182</v>
      </c>
      <c r="H43" s="27">
        <f t="shared" si="1"/>
        <v>10350</v>
      </c>
      <c r="I43" s="26">
        <v>10145</v>
      </c>
      <c r="J43" s="93" t="s">
        <v>633</v>
      </c>
      <c r="K43" s="94">
        <v>46212</v>
      </c>
      <c r="L43" s="29" t="s">
        <v>595</v>
      </c>
      <c r="M43" s="27">
        <f t="shared" si="2"/>
        <v>205</v>
      </c>
      <c r="N43" s="30"/>
      <c r="O43" s="31" t="s">
        <v>238</v>
      </c>
    </row>
    <row r="44" spans="1:20">
      <c r="A44" s="19" t="s">
        <v>130</v>
      </c>
      <c r="B44" s="19" t="s">
        <v>128</v>
      </c>
      <c r="C44" s="24" t="s">
        <v>129</v>
      </c>
      <c r="D44" s="33"/>
      <c r="E44" s="26">
        <v>10100</v>
      </c>
      <c r="F44" s="91">
        <v>345.00000000000171</v>
      </c>
      <c r="G44" s="27">
        <f>JUNE!M44</f>
        <v>584</v>
      </c>
      <c r="H44" s="27">
        <f t="shared" si="1"/>
        <v>11029.000000000002</v>
      </c>
      <c r="I44" s="92">
        <f>4000+2000+3000</f>
        <v>9000</v>
      </c>
      <c r="J44" s="93" t="s">
        <v>662</v>
      </c>
      <c r="K44" s="94" t="s">
        <v>663</v>
      </c>
      <c r="L44" s="29" t="s">
        <v>595</v>
      </c>
      <c r="M44" s="27">
        <f t="shared" si="2"/>
        <v>2029.0000000000018</v>
      </c>
      <c r="N44" s="30"/>
      <c r="O44" s="31" t="s">
        <v>238</v>
      </c>
    </row>
    <row r="45" spans="1:20">
      <c r="A45" s="19" t="s">
        <v>133</v>
      </c>
      <c r="B45" s="19" t="s">
        <v>300</v>
      </c>
      <c r="C45" s="24" t="s">
        <v>132</v>
      </c>
      <c r="D45" s="33"/>
      <c r="E45" s="26">
        <v>10100</v>
      </c>
      <c r="F45" s="91">
        <v>329.99999999999829</v>
      </c>
      <c r="G45" s="27">
        <f>JUNE!M45</f>
        <v>-16430</v>
      </c>
      <c r="H45" s="27">
        <f t="shared" si="1"/>
        <v>-6000.0000000000018</v>
      </c>
      <c r="I45" s="26">
        <v>10330</v>
      </c>
      <c r="J45" s="93" t="s">
        <v>612</v>
      </c>
      <c r="K45" s="94">
        <v>46212</v>
      </c>
      <c r="L45" s="29" t="s">
        <v>595</v>
      </c>
      <c r="M45" s="27">
        <f t="shared" si="2"/>
        <v>-16330.000000000002</v>
      </c>
      <c r="N45" s="30"/>
      <c r="O45" s="31" t="s">
        <v>238</v>
      </c>
    </row>
    <row r="46" spans="1:20">
      <c r="A46" s="19" t="s">
        <v>136</v>
      </c>
      <c r="B46" s="19" t="s">
        <v>134</v>
      </c>
      <c r="C46" s="24" t="s">
        <v>135</v>
      </c>
      <c r="D46" s="33"/>
      <c r="E46" s="26">
        <v>10100</v>
      </c>
      <c r="F46" s="91">
        <v>585.00000000000091</v>
      </c>
      <c r="G46" s="27">
        <f>JUNE!M46</f>
        <v>-111</v>
      </c>
      <c r="H46" s="27">
        <f t="shared" si="1"/>
        <v>10574</v>
      </c>
      <c r="I46" s="26">
        <f>10685</f>
        <v>10685</v>
      </c>
      <c r="J46" s="93" t="s">
        <v>603</v>
      </c>
      <c r="K46" s="94">
        <v>46119</v>
      </c>
      <c r="L46" s="29" t="s">
        <v>595</v>
      </c>
      <c r="M46" s="27">
        <f t="shared" si="2"/>
        <v>-111</v>
      </c>
      <c r="N46" s="30"/>
      <c r="O46" s="31" t="s">
        <v>238</v>
      </c>
    </row>
    <row r="47" spans="1:20">
      <c r="A47" s="19" t="s">
        <v>139</v>
      </c>
      <c r="B47" s="19" t="s">
        <v>137</v>
      </c>
      <c r="C47" s="24" t="s">
        <v>138</v>
      </c>
      <c r="D47" s="33"/>
      <c r="E47" s="26">
        <v>10100</v>
      </c>
      <c r="F47" s="91">
        <v>29.999999999999361</v>
      </c>
      <c r="G47" s="27">
        <f>JUNE!M47</f>
        <v>90</v>
      </c>
      <c r="H47" s="27">
        <f t="shared" si="1"/>
        <v>10220</v>
      </c>
      <c r="I47" s="26">
        <f>10130</f>
        <v>10130</v>
      </c>
      <c r="J47" s="93" t="s">
        <v>609</v>
      </c>
      <c r="K47" s="94">
        <v>46149</v>
      </c>
      <c r="L47" s="29" t="s">
        <v>595</v>
      </c>
      <c r="M47" s="27">
        <f t="shared" si="2"/>
        <v>90</v>
      </c>
      <c r="N47" s="30"/>
      <c r="O47" s="31"/>
    </row>
    <row r="48" spans="1:20">
      <c r="A48" s="19" t="s">
        <v>142</v>
      </c>
      <c r="B48" s="19" t="s">
        <v>140</v>
      </c>
      <c r="C48" s="24" t="s">
        <v>293</v>
      </c>
      <c r="D48" s="33"/>
      <c r="E48" s="26">
        <v>10100</v>
      </c>
      <c r="F48" s="91">
        <v>89.999999999999147</v>
      </c>
      <c r="G48" s="27">
        <f>JUNE!M48</f>
        <v>100.00000000000182</v>
      </c>
      <c r="H48" s="27">
        <f t="shared" si="1"/>
        <v>10290.000000000002</v>
      </c>
      <c r="I48" s="26">
        <v>10190</v>
      </c>
      <c r="J48" s="93" t="s">
        <v>627</v>
      </c>
      <c r="K48" s="94">
        <v>46209</v>
      </c>
      <c r="L48" s="29" t="s">
        <v>595</v>
      </c>
      <c r="M48" s="27">
        <f t="shared" si="2"/>
        <v>100.00000000000182</v>
      </c>
      <c r="N48" s="30"/>
      <c r="O48" s="31" t="s">
        <v>238</v>
      </c>
    </row>
    <row r="49" spans="1:15">
      <c r="A49" s="19" t="s">
        <v>145</v>
      </c>
      <c r="B49" s="19" t="s">
        <v>143</v>
      </c>
      <c r="C49" s="24" t="s">
        <v>144</v>
      </c>
      <c r="D49" s="33"/>
      <c r="E49" s="26">
        <v>10100</v>
      </c>
      <c r="F49" s="91">
        <v>150</v>
      </c>
      <c r="G49" s="27">
        <f>JUNE!M49</f>
        <v>174.99999999999818</v>
      </c>
      <c r="H49" s="27">
        <f t="shared" si="1"/>
        <v>10424.999999999998</v>
      </c>
      <c r="I49" s="26">
        <f>10250</f>
        <v>10250</v>
      </c>
      <c r="J49" s="93" t="s">
        <v>606</v>
      </c>
      <c r="K49" s="94">
        <v>46149</v>
      </c>
      <c r="L49" s="29" t="s">
        <v>595</v>
      </c>
      <c r="M49" s="27">
        <f t="shared" si="2"/>
        <v>174.99999999999818</v>
      </c>
      <c r="N49" s="30"/>
      <c r="O49" s="31"/>
    </row>
    <row r="50" spans="1:15">
      <c r="A50" s="19" t="s">
        <v>148</v>
      </c>
      <c r="B50" s="19" t="s">
        <v>146</v>
      </c>
      <c r="C50" s="24" t="s">
        <v>147</v>
      </c>
      <c r="D50" s="33"/>
      <c r="E50" s="26">
        <v>10100</v>
      </c>
      <c r="F50" s="91">
        <v>90.000000000000213</v>
      </c>
      <c r="G50" s="27">
        <f>JUNE!M50</f>
        <v>-10</v>
      </c>
      <c r="H50" s="27">
        <f t="shared" si="1"/>
        <v>10180</v>
      </c>
      <c r="I50" s="26">
        <v>10190</v>
      </c>
      <c r="J50" s="93" t="s">
        <v>631</v>
      </c>
      <c r="K50" s="94">
        <v>46211</v>
      </c>
      <c r="L50" s="29" t="s">
        <v>595</v>
      </c>
      <c r="M50" s="27">
        <f t="shared" si="2"/>
        <v>-10</v>
      </c>
      <c r="N50" s="30"/>
      <c r="O50" s="31"/>
    </row>
    <row r="51" spans="1:15">
      <c r="A51" s="19" t="s">
        <v>156</v>
      </c>
      <c r="B51" s="19" t="s">
        <v>159</v>
      </c>
      <c r="C51" s="24" t="s">
        <v>285</v>
      </c>
      <c r="D51" s="33"/>
      <c r="E51" s="26">
        <v>10100</v>
      </c>
      <c r="F51" s="91">
        <v>179.99999999999829</v>
      </c>
      <c r="G51" s="27">
        <f>JUNE!M51</f>
        <v>-39.999999999998181</v>
      </c>
      <c r="H51" s="27">
        <f t="shared" si="1"/>
        <v>10240</v>
      </c>
      <c r="I51" s="92">
        <f>10280+10460</f>
        <v>20740</v>
      </c>
      <c r="J51" s="93" t="s">
        <v>647</v>
      </c>
      <c r="K51" s="94" t="s">
        <v>648</v>
      </c>
      <c r="L51" s="29" t="s">
        <v>595</v>
      </c>
      <c r="M51" s="27">
        <f t="shared" si="2"/>
        <v>-10500</v>
      </c>
      <c r="N51" s="30"/>
      <c r="O51" s="31" t="s">
        <v>238</v>
      </c>
    </row>
    <row r="52" spans="1:15">
      <c r="A52" s="19" t="s">
        <v>157</v>
      </c>
      <c r="B52" s="19" t="s">
        <v>149</v>
      </c>
      <c r="C52" s="24" t="s">
        <v>150</v>
      </c>
      <c r="D52" s="33"/>
      <c r="E52" s="26">
        <v>10100</v>
      </c>
      <c r="F52" s="91">
        <v>30.000000000000426</v>
      </c>
      <c r="G52" s="27">
        <f>JUNE!M52</f>
        <v>30</v>
      </c>
      <c r="H52" s="27">
        <f t="shared" si="1"/>
        <v>10160</v>
      </c>
      <c r="I52" s="92">
        <f>20100+10560+15500</f>
        <v>46160</v>
      </c>
      <c r="J52" s="98" t="s">
        <v>664</v>
      </c>
      <c r="K52" s="99" t="s">
        <v>665</v>
      </c>
      <c r="L52" s="29" t="s">
        <v>595</v>
      </c>
      <c r="M52" s="27">
        <f>H52-I52</f>
        <v>-36000</v>
      </c>
      <c r="N52" s="30"/>
      <c r="O52" s="31"/>
    </row>
    <row r="53" spans="1:15">
      <c r="A53" s="19" t="s">
        <v>158</v>
      </c>
      <c r="B53" s="79" t="s">
        <v>160</v>
      </c>
      <c r="C53" s="88" t="s">
        <v>311</v>
      </c>
      <c r="D53" s="33"/>
      <c r="E53" s="26">
        <v>10100</v>
      </c>
      <c r="F53" s="91">
        <v>390.00000000000341</v>
      </c>
      <c r="G53" s="27">
        <f>JUNE!M53</f>
        <v>444.99999999999818</v>
      </c>
      <c r="H53" s="27">
        <f t="shared" si="1"/>
        <v>10935.000000000002</v>
      </c>
      <c r="I53" s="92">
        <f>10490+10655</f>
        <v>21145</v>
      </c>
      <c r="J53" s="93" t="s">
        <v>643</v>
      </c>
      <c r="K53" s="94" t="s">
        <v>644</v>
      </c>
      <c r="L53" s="29" t="s">
        <v>595</v>
      </c>
      <c r="M53" s="27">
        <f>H53-I53</f>
        <v>-10209.999999999998</v>
      </c>
      <c r="N53" s="30"/>
      <c r="O53" s="31"/>
    </row>
    <row r="54" spans="1:15">
      <c r="A54" s="19" t="s">
        <v>151</v>
      </c>
      <c r="B54" s="19" t="s">
        <v>152</v>
      </c>
      <c r="C54" s="24" t="s">
        <v>153</v>
      </c>
      <c r="D54" s="33"/>
      <c r="E54" s="26">
        <v>10100</v>
      </c>
      <c r="F54" s="91">
        <v>195.00000000000171</v>
      </c>
      <c r="G54" s="27">
        <f>JUNE!M54</f>
        <v>-80</v>
      </c>
      <c r="H54" s="27">
        <f t="shared" si="1"/>
        <v>10215.000000000002</v>
      </c>
      <c r="I54" s="92">
        <f>10295</f>
        <v>10295</v>
      </c>
      <c r="J54" s="93" t="s">
        <v>706</v>
      </c>
      <c r="K54" s="94" t="s">
        <v>646</v>
      </c>
      <c r="L54" s="29" t="s">
        <v>595</v>
      </c>
      <c r="M54" s="27">
        <f t="shared" si="2"/>
        <v>-79.999999999998181</v>
      </c>
      <c r="N54" s="30"/>
      <c r="O54" s="31" t="s">
        <v>238</v>
      </c>
    </row>
    <row r="55" spans="1:15">
      <c r="A55" s="19" t="s">
        <v>161</v>
      </c>
      <c r="B55" s="19" t="s">
        <v>610</v>
      </c>
      <c r="C55" s="24" t="s">
        <v>568</v>
      </c>
      <c r="D55" s="33"/>
      <c r="E55" s="26">
        <v>10100</v>
      </c>
      <c r="F55" s="91">
        <v>89.999999999999147</v>
      </c>
      <c r="G55" s="27">
        <f>JUNE!M55</f>
        <v>100</v>
      </c>
      <c r="H55" s="27">
        <f t="shared" si="1"/>
        <v>10290</v>
      </c>
      <c r="I55" s="26">
        <f>10190</f>
        <v>10190</v>
      </c>
      <c r="J55" s="93" t="s">
        <v>607</v>
      </c>
      <c r="K55" s="94">
        <v>46119</v>
      </c>
      <c r="L55" s="29" t="s">
        <v>595</v>
      </c>
      <c r="M55" s="27">
        <f t="shared" si="2"/>
        <v>100</v>
      </c>
      <c r="N55" s="30"/>
      <c r="O55" s="31" t="s">
        <v>238</v>
      </c>
    </row>
    <row r="56" spans="1:15">
      <c r="A56" s="19" t="s">
        <v>162</v>
      </c>
      <c r="B56" s="19" t="s">
        <v>565</v>
      </c>
      <c r="C56" s="24" t="s">
        <v>566</v>
      </c>
      <c r="D56" s="33"/>
      <c r="E56" s="26">
        <v>10100</v>
      </c>
      <c r="F56" s="91">
        <v>210.00000000000085</v>
      </c>
      <c r="G56" s="27">
        <f>JUNE!M56</f>
        <v>340</v>
      </c>
      <c r="H56" s="27">
        <f t="shared" si="1"/>
        <v>10650</v>
      </c>
      <c r="I56" s="92">
        <f>10000+210</f>
        <v>10210</v>
      </c>
      <c r="J56" s="93" t="s">
        <v>623</v>
      </c>
      <c r="K56" s="94">
        <v>46205</v>
      </c>
      <c r="L56" s="29" t="s">
        <v>595</v>
      </c>
      <c r="M56" s="27">
        <f>H56-I56</f>
        <v>440</v>
      </c>
      <c r="N56" s="30"/>
      <c r="O56" s="31" t="s">
        <v>238</v>
      </c>
    </row>
    <row r="57" spans="1:15">
      <c r="A57" s="52" t="s">
        <v>25</v>
      </c>
      <c r="B57" s="19"/>
      <c r="C57" s="53"/>
      <c r="D57" s="54"/>
      <c r="E57" s="54">
        <f>SUM(E9:E56)</f>
        <v>480700</v>
      </c>
      <c r="F57" s="54">
        <f>SUM(F9:F56)</f>
        <v>14655.000000000004</v>
      </c>
      <c r="G57" s="54">
        <f>SUM(G9:G56)</f>
        <v>-30348.000000000007</v>
      </c>
      <c r="H57" s="54">
        <f>SUM(H9:H56)</f>
        <v>465007</v>
      </c>
      <c r="I57" s="54">
        <f>SUM(I9:I56)</f>
        <v>582426</v>
      </c>
      <c r="J57" s="54"/>
      <c r="K57" s="54"/>
      <c r="L57" s="54"/>
      <c r="M57" s="54">
        <f>SUM(M9:M56)</f>
        <v>-117419</v>
      </c>
      <c r="N57" s="55"/>
      <c r="O57" s="55"/>
    </row>
    <row r="58" spans="1:15">
      <c r="A58" s="12"/>
      <c r="B58" s="19"/>
      <c r="C58" s="53"/>
      <c r="D58" s="56"/>
      <c r="E58" s="57"/>
      <c r="F58" s="57"/>
      <c r="G58" s="58"/>
      <c r="H58" s="57"/>
      <c r="I58" s="57"/>
      <c r="J58" s="12"/>
      <c r="K58" s="12"/>
      <c r="L58" s="12"/>
      <c r="M58" s="57"/>
      <c r="N58" s="57"/>
      <c r="O58" s="57"/>
    </row>
    <row r="59" spans="1:15">
      <c r="A59" s="59" t="s">
        <v>26</v>
      </c>
      <c r="B59" s="19"/>
      <c r="C59" s="53"/>
      <c r="D59" s="56"/>
      <c r="E59" s="57"/>
      <c r="F59" s="57"/>
      <c r="G59" s="58"/>
      <c r="H59" s="57"/>
      <c r="I59" s="57"/>
      <c r="J59" s="12"/>
      <c r="K59" s="12"/>
      <c r="L59" s="12"/>
      <c r="M59" s="57"/>
      <c r="N59" s="57"/>
      <c r="O59" s="57"/>
    </row>
    <row r="60" spans="1:15">
      <c r="A60" s="19" t="s">
        <v>27</v>
      </c>
      <c r="B60" s="19"/>
      <c r="C60" s="53"/>
      <c r="D60" s="19"/>
      <c r="E60" s="19"/>
      <c r="F60" s="19"/>
      <c r="G60" s="20"/>
      <c r="H60" s="19"/>
      <c r="I60" s="60">
        <f>6%*I57</f>
        <v>34945.56</v>
      </c>
      <c r="J60" s="19"/>
      <c r="K60" s="19"/>
      <c r="L60" s="19"/>
      <c r="M60" s="19"/>
      <c r="N60" s="15"/>
      <c r="O60" s="19"/>
    </row>
    <row r="61" spans="1:15" ht="16.5">
      <c r="A61" s="15" t="s">
        <v>28</v>
      </c>
      <c r="B61" s="15"/>
      <c r="C61" s="15"/>
      <c r="D61" s="15"/>
      <c r="E61" s="15"/>
      <c r="F61" s="15"/>
      <c r="G61" s="61"/>
      <c r="H61" s="15"/>
      <c r="I61" s="62">
        <f>SUM(I60:I60)</f>
        <v>34945.56</v>
      </c>
      <c r="J61" s="15"/>
      <c r="K61" s="15"/>
      <c r="L61" s="19"/>
      <c r="M61" s="15"/>
      <c r="N61" s="15"/>
      <c r="O61" s="15"/>
    </row>
    <row r="62" spans="1:15">
      <c r="A62" s="15"/>
      <c r="B62" s="15"/>
      <c r="C62" s="15"/>
      <c r="D62" s="15"/>
      <c r="E62" s="15"/>
      <c r="F62" s="15"/>
      <c r="G62" s="61"/>
      <c r="H62" s="15"/>
      <c r="I62" s="63"/>
      <c r="J62" s="15"/>
      <c r="K62" s="15"/>
      <c r="L62" s="15"/>
      <c r="M62" s="15"/>
      <c r="N62" s="15"/>
      <c r="O62" s="15"/>
    </row>
    <row r="63" spans="1:15">
      <c r="A63" s="2" t="s">
        <v>29</v>
      </c>
      <c r="B63" s="2"/>
      <c r="C63" s="2"/>
      <c r="D63" s="2"/>
      <c r="E63" s="2"/>
      <c r="F63" s="2"/>
      <c r="G63" s="64"/>
      <c r="H63" s="2"/>
      <c r="I63" s="47">
        <f>JUNE!M64</f>
        <v>29273.1</v>
      </c>
      <c r="J63" s="65" t="s">
        <v>30</v>
      </c>
      <c r="K63" s="65"/>
      <c r="L63" s="65" t="s">
        <v>30</v>
      </c>
      <c r="M63" s="66" t="s">
        <v>31</v>
      </c>
    </row>
    <row r="64" spans="1:15" ht="15.75" thickBot="1">
      <c r="A64" s="1" t="s">
        <v>32</v>
      </c>
      <c r="B64" s="1"/>
      <c r="C64" s="1"/>
      <c r="D64" s="1"/>
      <c r="E64" s="1"/>
      <c r="F64" s="1"/>
      <c r="G64" s="67"/>
      <c r="H64" s="68"/>
      <c r="I64" s="69">
        <f>I61</f>
        <v>34945.56</v>
      </c>
      <c r="J64" s="70"/>
      <c r="K64" s="70"/>
      <c r="L64" s="71"/>
      <c r="M64" s="72">
        <f>I64-J64-L64</f>
        <v>34945.56</v>
      </c>
    </row>
    <row r="65" spans="1:15" ht="15.75" thickTop="1">
      <c r="A65" s="1"/>
      <c r="B65" s="2"/>
      <c r="C65" s="2"/>
      <c r="D65" s="68"/>
      <c r="E65" s="68"/>
      <c r="F65" s="68"/>
      <c r="G65" s="70"/>
      <c r="H65" s="2"/>
      <c r="I65" s="73"/>
      <c r="J65" s="19"/>
      <c r="K65" s="19"/>
      <c r="L65" s="2"/>
      <c r="M65" s="19"/>
      <c r="N65" s="2"/>
      <c r="O65" s="68"/>
    </row>
    <row r="66" spans="1:15">
      <c r="A66" s="2" t="s">
        <v>33</v>
      </c>
      <c r="B66" s="2"/>
      <c r="C66" s="2"/>
      <c r="D66" s="2"/>
      <c r="E66" s="2"/>
      <c r="F66" s="2"/>
      <c r="G66" s="64"/>
      <c r="H66" s="2"/>
      <c r="I66" s="27"/>
      <c r="J66" s="19"/>
      <c r="K66" s="19"/>
      <c r="L66" s="2"/>
      <c r="M66" s="74">
        <v>46234</v>
      </c>
      <c r="N66" s="75"/>
      <c r="O66" s="76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L67" s="44"/>
      <c r="N67" s="44"/>
      <c r="O67" s="44"/>
    </row>
    <row r="68" spans="1:15" s="44" customFormat="1" ht="9" customHeight="1">
      <c r="I68"/>
      <c r="J68"/>
      <c r="K68"/>
      <c r="M68"/>
    </row>
    <row r="69" spans="1:15" ht="12.75" customHeight="1">
      <c r="A69" s="44"/>
      <c r="B69" s="44"/>
      <c r="C69" s="44"/>
      <c r="D69" s="44"/>
      <c r="E69" s="44"/>
      <c r="F69" s="44"/>
      <c r="G69" s="44"/>
      <c r="H69" s="44"/>
      <c r="L69" s="44"/>
      <c r="N69" s="44"/>
      <c r="O69" s="44"/>
    </row>
    <row r="70" spans="1:15" ht="14.25" customHeight="1">
      <c r="E70">
        <f>I57/H57*100</f>
        <v>125.25101772661486</v>
      </c>
    </row>
  </sheetData>
  <mergeCells count="1">
    <mergeCell ref="A3:M3"/>
  </mergeCells>
  <pageMargins left="0.25" right="0.25" top="0.75" bottom="0.75" header="0.3" footer="0.3"/>
  <pageSetup scale="2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CC17-21DF-4027-9974-6C84E32CB2BE}">
  <sheetPr>
    <pageSetUpPr fitToPage="1"/>
  </sheetPr>
  <dimension ref="A1:O70"/>
  <sheetViews>
    <sheetView zoomScale="70" zoomScaleNormal="70" workbookViewId="0">
      <selection activeCell="A36" sqref="A36:XFD36"/>
    </sheetView>
  </sheetViews>
  <sheetFormatPr defaultRowHeight="15"/>
  <cols>
    <col min="1" max="1" width="5" customWidth="1"/>
    <col min="2" max="2" width="18.28515625" customWidth="1"/>
    <col min="3" max="3" width="19.28515625" customWidth="1"/>
    <col min="4" max="4" width="12" customWidth="1"/>
    <col min="5" max="5" width="11.140625" customWidth="1"/>
    <col min="6" max="6" width="12" customWidth="1"/>
    <col min="7" max="7" width="12.140625" customWidth="1"/>
    <col min="8" max="8" width="12.28515625" customWidth="1"/>
    <col min="9" max="9" width="12.140625" customWidth="1"/>
    <col min="10" max="10" width="37.28515625" customWidth="1"/>
    <col min="11" max="11" width="31.5703125" customWidth="1"/>
    <col min="12" max="12" width="10.28515625" customWidth="1"/>
    <col min="13" max="13" width="12.28515625" customWidth="1"/>
    <col min="14" max="14" width="32.7109375" customWidth="1"/>
    <col min="15" max="15" width="11" customWidth="1"/>
  </cols>
  <sheetData>
    <row r="1" spans="1:15">
      <c r="A1" s="1"/>
      <c r="B1" s="2"/>
      <c r="C1" s="3" t="s">
        <v>0</v>
      </c>
      <c r="D1" s="4"/>
      <c r="E1" s="2"/>
      <c r="F1" s="2"/>
      <c r="G1" s="5"/>
      <c r="H1" s="6"/>
      <c r="I1" s="7"/>
      <c r="J1" s="8"/>
      <c r="K1" s="8"/>
      <c r="L1" s="9"/>
      <c r="M1" s="10"/>
      <c r="N1" s="11"/>
      <c r="O1" s="11"/>
    </row>
    <row r="2" spans="1:15">
      <c r="A2" s="1" t="s">
        <v>1</v>
      </c>
      <c r="B2" s="1"/>
      <c r="C2" s="1"/>
      <c r="D2" s="1"/>
      <c r="E2" s="6"/>
      <c r="F2" s="6"/>
      <c r="G2" s="5"/>
      <c r="H2" s="6"/>
      <c r="I2" s="7"/>
      <c r="J2" s="8"/>
      <c r="K2" s="8"/>
      <c r="L2" s="9"/>
      <c r="M2" s="10"/>
      <c r="N2" s="11"/>
      <c r="O2" s="11"/>
    </row>
    <row r="3" spans="1:15">
      <c r="A3" s="104" t="s">
        <v>726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"/>
      <c r="O3" s="1"/>
    </row>
    <row r="4" spans="1:15">
      <c r="A4" s="12"/>
      <c r="B4" s="12"/>
      <c r="C4" s="12"/>
      <c r="D4" s="7"/>
      <c r="E4" s="7"/>
      <c r="F4" s="7"/>
      <c r="G4" s="13"/>
      <c r="H4" s="7"/>
      <c r="I4" s="7"/>
      <c r="J4" s="8" t="s">
        <v>3</v>
      </c>
      <c r="K4" s="8"/>
      <c r="L4" s="8"/>
      <c r="M4" s="14"/>
      <c r="N4" s="14"/>
      <c r="O4" s="14"/>
    </row>
    <row r="5" spans="1:15">
      <c r="A5" s="15" t="s">
        <v>34</v>
      </c>
      <c r="B5" s="15"/>
      <c r="C5" s="15"/>
      <c r="D5" s="14"/>
      <c r="E5" s="14"/>
      <c r="F5" s="14"/>
      <c r="G5" s="16"/>
      <c r="H5" s="14"/>
      <c r="I5" s="14"/>
      <c r="J5" s="17" t="s">
        <v>4</v>
      </c>
      <c r="K5" s="17"/>
      <c r="L5" s="17"/>
      <c r="M5" s="14"/>
      <c r="N5" s="14"/>
      <c r="O5" s="14"/>
    </row>
    <row r="6" spans="1:15">
      <c r="A6" s="15" t="s">
        <v>5</v>
      </c>
      <c r="B6" s="18"/>
      <c r="C6" s="15"/>
      <c r="D6" s="19"/>
      <c r="E6" s="19"/>
      <c r="F6" s="19"/>
      <c r="G6" s="20"/>
      <c r="H6" s="19"/>
      <c r="I6" s="14" t="s">
        <v>6</v>
      </c>
      <c r="J6" s="17" t="s">
        <v>197</v>
      </c>
      <c r="K6" s="17"/>
      <c r="L6" s="17"/>
      <c r="M6" s="14"/>
      <c r="N6" s="14"/>
      <c r="O6" s="14"/>
    </row>
    <row r="7" spans="1:15">
      <c r="A7" s="15"/>
      <c r="B7" s="15"/>
      <c r="C7" s="15"/>
      <c r="D7" s="19"/>
      <c r="E7" s="19"/>
      <c r="F7" s="19"/>
      <c r="G7" s="20"/>
      <c r="H7" s="19"/>
      <c r="I7" s="14" t="s">
        <v>7</v>
      </c>
      <c r="J7" s="78" t="s">
        <v>198</v>
      </c>
      <c r="K7" s="78"/>
      <c r="L7" s="17"/>
      <c r="M7" s="14"/>
      <c r="N7" s="14"/>
      <c r="O7" s="14"/>
    </row>
    <row r="8" spans="1:15" ht="24.75">
      <c r="A8" s="12" t="s">
        <v>8</v>
      </c>
      <c r="B8" s="12" t="s">
        <v>9</v>
      </c>
      <c r="C8" s="12" t="s">
        <v>10</v>
      </c>
      <c r="D8" s="21" t="s">
        <v>11</v>
      </c>
      <c r="E8" s="22" t="s">
        <v>12</v>
      </c>
      <c r="F8" s="22" t="s">
        <v>163</v>
      </c>
      <c r="G8" s="13" t="s">
        <v>13</v>
      </c>
      <c r="H8" s="23" t="s">
        <v>14</v>
      </c>
      <c r="I8" s="7" t="s">
        <v>15</v>
      </c>
      <c r="J8" s="12" t="s">
        <v>16</v>
      </c>
      <c r="K8" s="12" t="s">
        <v>207</v>
      </c>
      <c r="L8" s="12" t="s">
        <v>17</v>
      </c>
      <c r="M8" s="7" t="s">
        <v>18</v>
      </c>
      <c r="N8" s="7" t="s">
        <v>19</v>
      </c>
      <c r="O8" s="7" t="s">
        <v>20</v>
      </c>
    </row>
    <row r="9" spans="1:15">
      <c r="A9" s="19" t="s">
        <v>35</v>
      </c>
      <c r="B9" s="19" t="s">
        <v>45</v>
      </c>
      <c r="C9" s="24" t="s">
        <v>46</v>
      </c>
      <c r="D9" s="25"/>
      <c r="E9" s="26">
        <v>10100</v>
      </c>
      <c r="F9" s="26">
        <v>525</v>
      </c>
      <c r="G9" s="27">
        <f>JULY!M9</f>
        <v>0</v>
      </c>
      <c r="H9" s="27">
        <f>D9+E9+G9+F9</f>
        <v>10625</v>
      </c>
      <c r="I9" s="26">
        <f>10625</f>
        <v>10625</v>
      </c>
      <c r="J9" s="93" t="s">
        <v>657</v>
      </c>
      <c r="K9" s="94" t="s">
        <v>658</v>
      </c>
      <c r="L9" s="29" t="s">
        <v>638</v>
      </c>
      <c r="M9" s="27">
        <f t="shared" ref="M9:M35" si="0">H9-I9</f>
        <v>0</v>
      </c>
      <c r="O9" s="31"/>
    </row>
    <row r="10" spans="1:15">
      <c r="A10" s="32" t="s">
        <v>37</v>
      </c>
      <c r="B10" s="32" t="s">
        <v>47</v>
      </c>
      <c r="C10" s="24" t="s">
        <v>711</v>
      </c>
      <c r="D10" s="33"/>
      <c r="E10" s="26">
        <v>10100</v>
      </c>
      <c r="F10" s="26">
        <v>600</v>
      </c>
      <c r="G10" s="27">
        <f>JULY!M10</f>
        <v>55</v>
      </c>
      <c r="H10" s="27">
        <f t="shared" ref="H10:H56" si="1">D10+E10+G10+F10</f>
        <v>10755</v>
      </c>
      <c r="I10" s="26">
        <f>10700</f>
        <v>10700</v>
      </c>
      <c r="J10" s="93" t="s">
        <v>689</v>
      </c>
      <c r="K10" s="94" t="s">
        <v>690</v>
      </c>
      <c r="L10" s="29" t="s">
        <v>638</v>
      </c>
      <c r="M10" s="27">
        <f t="shared" si="0"/>
        <v>55</v>
      </c>
      <c r="N10" s="30"/>
      <c r="O10" s="31" t="s">
        <v>238</v>
      </c>
    </row>
    <row r="11" spans="1:15">
      <c r="A11" s="19" t="s">
        <v>36</v>
      </c>
      <c r="B11" s="32" t="s">
        <v>477</v>
      </c>
      <c r="C11" s="24" t="s">
        <v>284</v>
      </c>
      <c r="D11" s="34"/>
      <c r="E11" s="26">
        <v>10100</v>
      </c>
      <c r="F11" s="26">
        <v>314.99999999999915</v>
      </c>
      <c r="G11" s="27">
        <f>JULY!M11</f>
        <v>1095</v>
      </c>
      <c r="H11" s="27">
        <f t="shared" si="1"/>
        <v>11510</v>
      </c>
      <c r="I11" s="26">
        <v>9500</v>
      </c>
      <c r="J11" s="93" t="s">
        <v>717</v>
      </c>
      <c r="K11" s="94" t="s">
        <v>718</v>
      </c>
      <c r="L11" s="29" t="s">
        <v>638</v>
      </c>
      <c r="M11" s="27">
        <f t="shared" si="0"/>
        <v>2010</v>
      </c>
      <c r="N11" s="30"/>
      <c r="O11" s="31"/>
    </row>
    <row r="12" spans="1:15">
      <c r="A12" s="19" t="s">
        <v>38</v>
      </c>
      <c r="B12" s="19" t="s">
        <v>506</v>
      </c>
      <c r="C12" s="24" t="s">
        <v>507</v>
      </c>
      <c r="D12" s="34"/>
      <c r="E12" s="26">
        <v>10100</v>
      </c>
      <c r="F12" s="26">
        <v>255.00000000000043</v>
      </c>
      <c r="G12" s="27">
        <f>JULY!M12</f>
        <v>-4645.0000000000018</v>
      </c>
      <c r="H12" s="27">
        <f t="shared" si="1"/>
        <v>5709.9999999999982</v>
      </c>
      <c r="I12" s="26">
        <f>10355</f>
        <v>10355</v>
      </c>
      <c r="J12" s="93" t="s">
        <v>683</v>
      </c>
      <c r="K12" s="94" t="s">
        <v>684</v>
      </c>
      <c r="L12" s="29" t="s">
        <v>638</v>
      </c>
      <c r="M12" s="27">
        <f t="shared" si="0"/>
        <v>-4645.0000000000018</v>
      </c>
      <c r="N12" s="35"/>
      <c r="O12" s="31" t="s">
        <v>238</v>
      </c>
    </row>
    <row r="13" spans="1:15">
      <c r="A13" s="19" t="s">
        <v>39</v>
      </c>
      <c r="B13" s="32" t="s">
        <v>50</v>
      </c>
      <c r="C13" s="36" t="s">
        <v>727</v>
      </c>
      <c r="D13" s="33"/>
      <c r="E13" s="26">
        <v>10100</v>
      </c>
      <c r="F13" s="26">
        <v>975</v>
      </c>
      <c r="G13" s="27">
        <f>JULY!M13</f>
        <v>12960</v>
      </c>
      <c r="H13" s="27">
        <f t="shared" si="1"/>
        <v>24035</v>
      </c>
      <c r="I13" s="26">
        <f>10000</f>
        <v>10000</v>
      </c>
      <c r="J13" s="93" t="s">
        <v>696</v>
      </c>
      <c r="K13" s="93" t="s">
        <v>668</v>
      </c>
      <c r="L13" s="29" t="s">
        <v>638</v>
      </c>
      <c r="M13" s="27">
        <f t="shared" si="0"/>
        <v>14035</v>
      </c>
      <c r="N13" s="30" t="s">
        <v>295</v>
      </c>
      <c r="O13" s="31" t="s">
        <v>238</v>
      </c>
    </row>
    <row r="14" spans="1:15">
      <c r="A14" s="19" t="s">
        <v>40</v>
      </c>
      <c r="B14" s="19" t="s">
        <v>509</v>
      </c>
      <c r="C14" s="24" t="s">
        <v>558</v>
      </c>
      <c r="D14" s="34"/>
      <c r="E14" s="26">
        <v>10100</v>
      </c>
      <c r="F14" s="26">
        <v>479.99999999999829</v>
      </c>
      <c r="G14" s="27">
        <f>JULY!M14</f>
        <v>-9500</v>
      </c>
      <c r="H14" s="27">
        <f t="shared" si="1"/>
        <v>1079.9999999999982</v>
      </c>
      <c r="I14" s="26"/>
      <c r="J14" s="95"/>
      <c r="K14" s="95"/>
      <c r="L14" s="29" t="s">
        <v>638</v>
      </c>
      <c r="M14" s="27">
        <f t="shared" si="0"/>
        <v>1079.9999999999982</v>
      </c>
      <c r="N14" s="35"/>
      <c r="O14" s="31"/>
    </row>
    <row r="15" spans="1:15">
      <c r="A15" s="38" t="s">
        <v>41</v>
      </c>
      <c r="B15" s="2" t="s">
        <v>467</v>
      </c>
      <c r="C15" s="39" t="s">
        <v>468</v>
      </c>
      <c r="D15" s="40"/>
      <c r="E15" s="41">
        <v>10100</v>
      </c>
      <c r="F15" s="41">
        <v>44.999999999999574</v>
      </c>
      <c r="G15" s="27">
        <f>JULY!M15</f>
        <v>-10035</v>
      </c>
      <c r="H15" s="27">
        <f t="shared" si="1"/>
        <v>109.99999999999957</v>
      </c>
      <c r="I15" s="26"/>
      <c r="J15" s="93"/>
      <c r="K15" s="94"/>
      <c r="L15" s="29" t="s">
        <v>638</v>
      </c>
      <c r="M15" s="27">
        <f t="shared" si="0"/>
        <v>109.99999999999957</v>
      </c>
      <c r="N15" s="42"/>
      <c r="O15" s="43"/>
    </row>
    <row r="16" spans="1:15">
      <c r="A16" s="19" t="s">
        <v>42</v>
      </c>
      <c r="B16" s="19" t="s">
        <v>56</v>
      </c>
      <c r="C16" s="24" t="s">
        <v>470</v>
      </c>
      <c r="D16" s="34"/>
      <c r="E16" s="26">
        <v>12100</v>
      </c>
      <c r="F16" s="26">
        <v>1109.9999999999986</v>
      </c>
      <c r="G16" s="27">
        <f>JULY!M16</f>
        <v>601</v>
      </c>
      <c r="H16" s="27">
        <f t="shared" si="1"/>
        <v>13810.999999999998</v>
      </c>
      <c r="I16" s="26">
        <f>13210</f>
        <v>13210</v>
      </c>
      <c r="J16" s="95"/>
      <c r="K16" s="95" t="s">
        <v>676</v>
      </c>
      <c r="L16" s="29" t="s">
        <v>638</v>
      </c>
      <c r="M16" s="27">
        <f t="shared" si="0"/>
        <v>600.99999999999818</v>
      </c>
      <c r="N16" s="15"/>
      <c r="O16" s="31" t="s">
        <v>238</v>
      </c>
    </row>
    <row r="17" spans="1:15">
      <c r="A17" s="19" t="s">
        <v>43</v>
      </c>
      <c r="B17" s="19" t="s">
        <v>58</v>
      </c>
      <c r="C17" s="24" t="s">
        <v>59</v>
      </c>
      <c r="D17" s="34"/>
      <c r="E17" s="26">
        <v>14100</v>
      </c>
      <c r="F17" s="26">
        <v>1394.9999999999975</v>
      </c>
      <c r="G17" s="27">
        <f>JULY!M17</f>
        <v>1810</v>
      </c>
      <c r="H17" s="27">
        <f t="shared" si="1"/>
        <v>17304.999999999996</v>
      </c>
      <c r="I17" s="26">
        <f>14000</f>
        <v>14000</v>
      </c>
      <c r="J17" s="93" t="s">
        <v>692</v>
      </c>
      <c r="K17" s="94">
        <v>46245</v>
      </c>
      <c r="L17" s="29" t="s">
        <v>638</v>
      </c>
      <c r="M17" s="27">
        <f t="shared" si="0"/>
        <v>3304.9999999999964</v>
      </c>
      <c r="N17" s="30"/>
      <c r="O17" s="31"/>
    </row>
    <row r="18" spans="1:15">
      <c r="A18" s="19" t="s">
        <v>44</v>
      </c>
      <c r="B18" s="19" t="s">
        <v>60</v>
      </c>
      <c r="C18" s="24" t="s">
        <v>473</v>
      </c>
      <c r="D18" s="34"/>
      <c r="E18" s="26">
        <v>10100</v>
      </c>
      <c r="F18" s="26">
        <v>720.00000000000171</v>
      </c>
      <c r="G18" s="27">
        <f>JULY!M18</f>
        <v>560</v>
      </c>
      <c r="H18" s="27">
        <f t="shared" si="1"/>
        <v>11380.000000000002</v>
      </c>
      <c r="I18" s="26">
        <f>10720</f>
        <v>10720</v>
      </c>
      <c r="J18" s="93" t="s">
        <v>695</v>
      </c>
      <c r="K18" s="94" t="s">
        <v>658</v>
      </c>
      <c r="L18" s="29" t="s">
        <v>638</v>
      </c>
      <c r="M18" s="27">
        <f t="shared" si="0"/>
        <v>660.00000000000182</v>
      </c>
      <c r="N18" s="45"/>
      <c r="O18" s="31" t="s">
        <v>238</v>
      </c>
    </row>
    <row r="19" spans="1:15">
      <c r="A19" s="32" t="s">
        <v>62</v>
      </c>
      <c r="B19" s="32" t="s">
        <v>63</v>
      </c>
      <c r="C19" s="46" t="s">
        <v>64</v>
      </c>
      <c r="D19" s="33"/>
      <c r="E19" s="26">
        <v>10100</v>
      </c>
      <c r="F19" s="26">
        <v>179.99999999999937</v>
      </c>
      <c r="G19" s="27">
        <f>JULY!M19</f>
        <v>105</v>
      </c>
      <c r="H19" s="27">
        <f t="shared" si="1"/>
        <v>10385</v>
      </c>
      <c r="I19" s="47">
        <f>10280</f>
        <v>10280</v>
      </c>
      <c r="J19" s="93" t="s">
        <v>674</v>
      </c>
      <c r="K19" s="94" t="s">
        <v>668</v>
      </c>
      <c r="L19" s="29" t="s">
        <v>638</v>
      </c>
      <c r="M19" s="27">
        <f t="shared" si="0"/>
        <v>105</v>
      </c>
      <c r="N19" s="15"/>
      <c r="O19" s="31"/>
    </row>
    <row r="20" spans="1:15">
      <c r="A20" s="19" t="s">
        <v>65</v>
      </c>
      <c r="B20" s="19" t="s">
        <v>671</v>
      </c>
      <c r="C20" s="24" t="s">
        <v>790</v>
      </c>
      <c r="D20" s="33">
        <v>10000</v>
      </c>
      <c r="E20" s="26">
        <v>10100</v>
      </c>
      <c r="F20" s="26">
        <v>135.00000000000085</v>
      </c>
      <c r="G20" s="27">
        <v>0</v>
      </c>
      <c r="H20" s="27">
        <f t="shared" si="1"/>
        <v>20235</v>
      </c>
      <c r="I20" s="26">
        <v>15000</v>
      </c>
      <c r="J20" s="96" t="s">
        <v>672</v>
      </c>
      <c r="K20" s="94" t="s">
        <v>668</v>
      </c>
      <c r="L20" s="29" t="s">
        <v>638</v>
      </c>
      <c r="M20" s="27">
        <f t="shared" si="0"/>
        <v>5235</v>
      </c>
      <c r="N20" s="30"/>
      <c r="O20" s="31" t="s">
        <v>238</v>
      </c>
    </row>
    <row r="21" spans="1:15">
      <c r="A21" s="19" t="s">
        <v>68</v>
      </c>
      <c r="B21" s="19" t="s">
        <v>302</v>
      </c>
      <c r="C21" s="24" t="s">
        <v>474</v>
      </c>
      <c r="D21" s="34"/>
      <c r="E21" s="26">
        <v>10100</v>
      </c>
      <c r="F21" s="26">
        <v>300</v>
      </c>
      <c r="G21" s="27">
        <f>JULY!M21</f>
        <v>485</v>
      </c>
      <c r="H21" s="27">
        <f t="shared" si="1"/>
        <v>10885</v>
      </c>
      <c r="I21" s="26">
        <v>10500</v>
      </c>
      <c r="J21" s="93" t="s">
        <v>712</v>
      </c>
      <c r="K21" s="94" t="s">
        <v>713</v>
      </c>
      <c r="L21" s="29" t="s">
        <v>638</v>
      </c>
      <c r="M21" s="27">
        <f t="shared" si="0"/>
        <v>385</v>
      </c>
      <c r="N21" s="49"/>
      <c r="O21" s="31" t="s">
        <v>238</v>
      </c>
    </row>
    <row r="22" spans="1:15">
      <c r="A22" s="19" t="s">
        <v>71</v>
      </c>
      <c r="B22" s="19" t="s">
        <v>604</v>
      </c>
      <c r="C22" s="24" t="s">
        <v>605</v>
      </c>
      <c r="D22" s="34"/>
      <c r="E22" s="26">
        <v>10100</v>
      </c>
      <c r="F22" s="26">
        <v>689.99999999999909</v>
      </c>
      <c r="G22" s="27">
        <f>JULY!M22</f>
        <v>220</v>
      </c>
      <c r="H22" s="27">
        <f t="shared" si="1"/>
        <v>11010</v>
      </c>
      <c r="I22" s="26">
        <f>10100+10355</f>
        <v>20455</v>
      </c>
      <c r="J22" s="93" t="s">
        <v>678</v>
      </c>
      <c r="K22" s="94" t="s">
        <v>679</v>
      </c>
      <c r="L22" s="29" t="s">
        <v>638</v>
      </c>
      <c r="M22" s="27">
        <f t="shared" si="0"/>
        <v>-9445</v>
      </c>
      <c r="N22" s="30"/>
      <c r="O22" s="31" t="s">
        <v>238</v>
      </c>
    </row>
    <row r="23" spans="1:15">
      <c r="A23" s="19" t="s">
        <v>74</v>
      </c>
      <c r="B23" s="32" t="s">
        <v>233</v>
      </c>
      <c r="C23" s="24" t="s">
        <v>476</v>
      </c>
      <c r="D23" s="34"/>
      <c r="E23" s="26">
        <v>10100</v>
      </c>
      <c r="F23" s="26">
        <v>1050</v>
      </c>
      <c r="G23" s="27">
        <f>JULY!M23</f>
        <v>-6335</v>
      </c>
      <c r="H23" s="27">
        <f t="shared" si="1"/>
        <v>4815</v>
      </c>
      <c r="I23" s="26">
        <f>15800</f>
        <v>15800</v>
      </c>
      <c r="J23" s="95" t="s">
        <v>709</v>
      </c>
      <c r="K23" s="97">
        <v>46262</v>
      </c>
      <c r="L23" s="29" t="s">
        <v>638</v>
      </c>
      <c r="M23" s="27">
        <f t="shared" si="0"/>
        <v>-10985</v>
      </c>
      <c r="N23" s="30"/>
      <c r="O23" s="77" t="s">
        <v>297</v>
      </c>
    </row>
    <row r="24" spans="1:15">
      <c r="A24" s="19" t="s">
        <v>77</v>
      </c>
      <c r="B24" s="19" t="s">
        <v>78</v>
      </c>
      <c r="C24" s="24" t="s">
        <v>299</v>
      </c>
      <c r="D24" s="34"/>
      <c r="E24" s="26">
        <v>10100</v>
      </c>
      <c r="F24" s="26">
        <v>555.00000000000045</v>
      </c>
      <c r="G24" s="27">
        <f>JULY!M24</f>
        <v>-105.00000000000182</v>
      </c>
      <c r="H24" s="27">
        <f t="shared" si="1"/>
        <v>10549.999999999998</v>
      </c>
      <c r="I24" s="26">
        <f>10655</f>
        <v>10655</v>
      </c>
      <c r="J24" s="93" t="s">
        <v>675</v>
      </c>
      <c r="K24" s="94" t="s">
        <v>676</v>
      </c>
      <c r="L24" s="29" t="s">
        <v>638</v>
      </c>
      <c r="M24" s="27">
        <f t="shared" si="0"/>
        <v>-105.00000000000182</v>
      </c>
      <c r="N24" s="30"/>
      <c r="O24" s="31" t="s">
        <v>238</v>
      </c>
    </row>
    <row r="25" spans="1:15">
      <c r="A25" s="19" t="s">
        <v>80</v>
      </c>
      <c r="B25" s="19" t="s">
        <v>81</v>
      </c>
      <c r="C25" s="46" t="s">
        <v>82</v>
      </c>
      <c r="D25" s="33"/>
      <c r="E25" s="26">
        <v>10100</v>
      </c>
      <c r="F25" s="26">
        <v>525</v>
      </c>
      <c r="G25" s="27">
        <f>JULY!M25</f>
        <v>769</v>
      </c>
      <c r="H25" s="27">
        <f t="shared" si="1"/>
        <v>11394</v>
      </c>
      <c r="I25" s="26">
        <f>10525</f>
        <v>10525</v>
      </c>
      <c r="J25" s="93" t="s">
        <v>673</v>
      </c>
      <c r="K25" s="94" t="s">
        <v>668</v>
      </c>
      <c r="L25" s="29" t="s">
        <v>638</v>
      </c>
      <c r="M25" s="27">
        <f t="shared" si="0"/>
        <v>869</v>
      </c>
      <c r="N25" s="30"/>
      <c r="O25" s="31" t="s">
        <v>238</v>
      </c>
    </row>
    <row r="26" spans="1:15">
      <c r="A26" s="19" t="s">
        <v>83</v>
      </c>
      <c r="B26" s="19" t="s">
        <v>84</v>
      </c>
      <c r="C26" s="24" t="s">
        <v>85</v>
      </c>
      <c r="D26" s="33"/>
      <c r="E26" s="26">
        <v>10100</v>
      </c>
      <c r="F26" s="26">
        <v>150</v>
      </c>
      <c r="G26" s="27">
        <f>JULY!M26</f>
        <v>0</v>
      </c>
      <c r="H26" s="27">
        <f t="shared" si="1"/>
        <v>10250</v>
      </c>
      <c r="I26" s="26">
        <f>10250</f>
        <v>10250</v>
      </c>
      <c r="J26" s="93" t="s">
        <v>677</v>
      </c>
      <c r="K26" s="94" t="s">
        <v>676</v>
      </c>
      <c r="L26" s="29" t="s">
        <v>638</v>
      </c>
      <c r="M26" s="27">
        <f t="shared" si="0"/>
        <v>0</v>
      </c>
      <c r="N26" s="30"/>
      <c r="O26" s="31" t="s">
        <v>238</v>
      </c>
    </row>
    <row r="27" spans="1:15">
      <c r="A27" s="19" t="s">
        <v>86</v>
      </c>
      <c r="B27" s="19" t="s">
        <v>87</v>
      </c>
      <c r="C27" s="24" t="s">
        <v>88</v>
      </c>
      <c r="D27" s="33"/>
      <c r="E27" s="26">
        <v>10100</v>
      </c>
      <c r="F27" s="26">
        <v>644.9999999999975</v>
      </c>
      <c r="G27" s="27">
        <f>JULY!M27</f>
        <v>-680</v>
      </c>
      <c r="H27" s="27">
        <f t="shared" si="1"/>
        <v>10064.999999999998</v>
      </c>
      <c r="I27" s="26">
        <f>10745</f>
        <v>10745</v>
      </c>
      <c r="J27" s="93" t="s">
        <v>661</v>
      </c>
      <c r="K27" s="94" t="s">
        <v>658</v>
      </c>
      <c r="L27" s="29" t="s">
        <v>638</v>
      </c>
      <c r="M27" s="27">
        <f t="shared" si="0"/>
        <v>-680.00000000000182</v>
      </c>
      <c r="N27" s="30"/>
      <c r="O27" s="31" t="s">
        <v>238</v>
      </c>
    </row>
    <row r="28" spans="1:15">
      <c r="A28" s="19" t="s">
        <v>89</v>
      </c>
      <c r="B28" s="19" t="s">
        <v>90</v>
      </c>
      <c r="C28" s="24" t="s">
        <v>91</v>
      </c>
      <c r="D28" s="33"/>
      <c r="E28" s="26">
        <v>10100</v>
      </c>
      <c r="F28" s="26">
        <v>540.00000000000125</v>
      </c>
      <c r="G28" s="27">
        <f>JULY!M28</f>
        <v>-8710</v>
      </c>
      <c r="H28" s="27">
        <f t="shared" si="1"/>
        <v>1930.0000000000014</v>
      </c>
      <c r="I28" s="26"/>
      <c r="J28" s="93"/>
      <c r="K28" s="94"/>
      <c r="L28" s="29" t="s">
        <v>638</v>
      </c>
      <c r="M28" s="27">
        <f t="shared" si="0"/>
        <v>1930.0000000000014</v>
      </c>
      <c r="N28" s="30"/>
      <c r="O28" s="31"/>
    </row>
    <row r="29" spans="1:15">
      <c r="A29" s="19" t="s">
        <v>92</v>
      </c>
      <c r="B29" s="19" t="s">
        <v>228</v>
      </c>
      <c r="C29" s="24"/>
      <c r="D29" s="33"/>
      <c r="E29" s="26"/>
      <c r="F29" s="26">
        <v>0</v>
      </c>
      <c r="G29" s="27">
        <f>JULY!M29</f>
        <v>0</v>
      </c>
      <c r="H29" s="27">
        <f t="shared" si="1"/>
        <v>0</v>
      </c>
      <c r="I29" s="26"/>
      <c r="J29" s="93"/>
      <c r="K29" s="93"/>
      <c r="L29" s="29" t="s">
        <v>638</v>
      </c>
      <c r="M29" s="27">
        <f t="shared" si="0"/>
        <v>0</v>
      </c>
      <c r="N29" s="30"/>
      <c r="O29" s="31"/>
    </row>
    <row r="30" spans="1:15" ht="14.25" customHeight="1">
      <c r="A30" s="19" t="s">
        <v>95</v>
      </c>
      <c r="B30" s="19" t="s">
        <v>93</v>
      </c>
      <c r="C30" s="24" t="s">
        <v>94</v>
      </c>
      <c r="D30" s="33"/>
      <c r="E30" s="26">
        <v>10100</v>
      </c>
      <c r="F30" s="26">
        <v>269.99999999999955</v>
      </c>
      <c r="G30" s="27">
        <f>JULY!M30</f>
        <v>-10215.000000000002</v>
      </c>
      <c r="H30" s="27">
        <f t="shared" si="1"/>
        <v>154.99999999999773</v>
      </c>
      <c r="I30" s="26"/>
      <c r="J30" s="95"/>
      <c r="K30" s="97"/>
      <c r="L30" s="29" t="s">
        <v>638</v>
      </c>
      <c r="M30" s="27">
        <f t="shared" si="0"/>
        <v>154.99999999999773</v>
      </c>
      <c r="N30" s="30"/>
      <c r="O30" s="31" t="s">
        <v>238</v>
      </c>
    </row>
    <row r="31" spans="1:15">
      <c r="A31" s="19" t="s">
        <v>98</v>
      </c>
      <c r="B31" s="19" t="s">
        <v>96</v>
      </c>
      <c r="C31" s="24" t="s">
        <v>97</v>
      </c>
      <c r="D31" s="33"/>
      <c r="E31" s="26">
        <v>10100</v>
      </c>
      <c r="F31" s="26">
        <v>30.000000000000028</v>
      </c>
      <c r="G31" s="27">
        <f>JULY!M31</f>
        <v>-8</v>
      </c>
      <c r="H31" s="27">
        <f t="shared" si="1"/>
        <v>10122</v>
      </c>
      <c r="I31" s="26">
        <f>10130</f>
        <v>10130</v>
      </c>
      <c r="J31" s="93" t="s">
        <v>699</v>
      </c>
      <c r="K31" s="94" t="s">
        <v>676</v>
      </c>
      <c r="L31" s="29" t="s">
        <v>638</v>
      </c>
      <c r="M31" s="27">
        <f t="shared" si="0"/>
        <v>-8</v>
      </c>
      <c r="N31" s="30"/>
      <c r="O31" s="31"/>
    </row>
    <row r="32" spans="1:15" ht="13.5" customHeight="1">
      <c r="A32" s="19" t="s">
        <v>99</v>
      </c>
      <c r="B32" s="32" t="s">
        <v>192</v>
      </c>
      <c r="C32" s="36" t="s">
        <v>193</v>
      </c>
      <c r="D32" s="33"/>
      <c r="E32" s="26">
        <v>10100</v>
      </c>
      <c r="F32" s="26">
        <v>1155.0000000000025</v>
      </c>
      <c r="G32" s="27">
        <f>JULY!M32</f>
        <v>2284.9999999999964</v>
      </c>
      <c r="H32" s="27">
        <f t="shared" si="1"/>
        <v>13539.999999999998</v>
      </c>
      <c r="I32" s="26">
        <f>10000</f>
        <v>10000</v>
      </c>
      <c r="J32" s="96" t="s">
        <v>700</v>
      </c>
      <c r="K32" s="94">
        <v>46256</v>
      </c>
      <c r="L32" s="29" t="s">
        <v>638</v>
      </c>
      <c r="M32" s="27">
        <f t="shared" si="0"/>
        <v>3539.9999999999982</v>
      </c>
      <c r="N32" s="30"/>
      <c r="O32" s="31" t="s">
        <v>238</v>
      </c>
    </row>
    <row r="33" spans="1:15">
      <c r="A33" s="19" t="s">
        <v>102</v>
      </c>
      <c r="B33" s="19" t="s">
        <v>488</v>
      </c>
      <c r="C33" s="24" t="s">
        <v>101</v>
      </c>
      <c r="D33" s="33"/>
      <c r="E33" s="26">
        <v>10100</v>
      </c>
      <c r="F33" s="26">
        <v>270.00000000000171</v>
      </c>
      <c r="G33" s="27">
        <f>JULY!M33</f>
        <v>-155</v>
      </c>
      <c r="H33" s="27">
        <f t="shared" si="1"/>
        <v>10215.000000000002</v>
      </c>
      <c r="I33" s="26">
        <f>10370</f>
        <v>10370</v>
      </c>
      <c r="J33" s="93" t="s">
        <v>710</v>
      </c>
      <c r="K33" s="94">
        <v>46262</v>
      </c>
      <c r="L33" s="29" t="s">
        <v>638</v>
      </c>
      <c r="M33" s="27">
        <f t="shared" si="0"/>
        <v>-154.99999999999818</v>
      </c>
      <c r="N33" s="30"/>
      <c r="O33" s="31" t="s">
        <v>238</v>
      </c>
    </row>
    <row r="34" spans="1:15">
      <c r="A34" s="19" t="s">
        <v>105</v>
      </c>
      <c r="B34" s="19" t="s">
        <v>103</v>
      </c>
      <c r="C34" s="24" t="s">
        <v>104</v>
      </c>
      <c r="D34" s="33"/>
      <c r="E34" s="26">
        <v>10100</v>
      </c>
      <c r="F34" s="26">
        <v>194.99999999999957</v>
      </c>
      <c r="G34" s="27">
        <f>JULY!M34</f>
        <v>110.00000000000182</v>
      </c>
      <c r="H34" s="27">
        <f t="shared" si="1"/>
        <v>10405.000000000002</v>
      </c>
      <c r="I34" s="26">
        <f>10720+10295</f>
        <v>21015</v>
      </c>
      <c r="J34" s="93" t="s">
        <v>686</v>
      </c>
      <c r="K34" s="94" t="s">
        <v>687</v>
      </c>
      <c r="L34" s="29" t="s">
        <v>638</v>
      </c>
      <c r="M34" s="27">
        <f t="shared" si="0"/>
        <v>-10609.999999999998</v>
      </c>
      <c r="N34" s="30"/>
      <c r="O34" s="31"/>
    </row>
    <row r="35" spans="1:15">
      <c r="A35" s="19" t="s">
        <v>108</v>
      </c>
      <c r="B35" s="19" t="s">
        <v>106</v>
      </c>
      <c r="C35" s="24" t="s">
        <v>107</v>
      </c>
      <c r="D35" s="33"/>
      <c r="E35" s="26">
        <v>10100</v>
      </c>
      <c r="F35" s="26">
        <v>104.99999999999829</v>
      </c>
      <c r="G35" s="27">
        <f>JULY!M35</f>
        <v>-330</v>
      </c>
      <c r="H35" s="27">
        <f t="shared" si="1"/>
        <v>9874.9999999999982</v>
      </c>
      <c r="I35" s="26">
        <f>10205</f>
        <v>10205</v>
      </c>
      <c r="J35" s="93" t="s">
        <v>688</v>
      </c>
      <c r="K35" s="94" t="s">
        <v>676</v>
      </c>
      <c r="L35" s="29" t="s">
        <v>638</v>
      </c>
      <c r="M35" s="27">
        <f t="shared" si="0"/>
        <v>-330.00000000000182</v>
      </c>
      <c r="N35" s="30"/>
      <c r="O35" s="31"/>
    </row>
    <row r="36" spans="1:15">
      <c r="A36" s="19" t="s">
        <v>111</v>
      </c>
      <c r="B36" s="19" t="s">
        <v>109</v>
      </c>
      <c r="C36" s="24" t="s">
        <v>110</v>
      </c>
      <c r="D36" s="33"/>
      <c r="E36" s="26">
        <v>10100</v>
      </c>
      <c r="F36" s="26">
        <v>150</v>
      </c>
      <c r="G36" s="27">
        <f>JULY!M36</f>
        <v>-10194.999999999996</v>
      </c>
      <c r="H36" s="27">
        <f t="shared" si="1"/>
        <v>55.000000000003638</v>
      </c>
      <c r="I36" s="26">
        <f>10150</f>
        <v>10150</v>
      </c>
      <c r="J36" s="93" t="s">
        <v>704</v>
      </c>
      <c r="K36" s="94" t="s">
        <v>705</v>
      </c>
      <c r="L36" s="29" t="s">
        <v>638</v>
      </c>
      <c r="M36" s="27">
        <f>H36-I36</f>
        <v>-10094.999999999996</v>
      </c>
      <c r="N36" s="30"/>
      <c r="O36" s="31"/>
    </row>
    <row r="37" spans="1:15">
      <c r="A37" s="19" t="s">
        <v>114</v>
      </c>
      <c r="B37" s="19" t="s">
        <v>112</v>
      </c>
      <c r="C37" s="24" t="s">
        <v>113</v>
      </c>
      <c r="D37" s="33"/>
      <c r="E37" s="26">
        <v>10100</v>
      </c>
      <c r="F37" s="26">
        <v>194.99999999999744</v>
      </c>
      <c r="G37" s="27">
        <f>JULY!M37</f>
        <v>35.000000000001819</v>
      </c>
      <c r="H37" s="27">
        <f t="shared" si="1"/>
        <v>10330</v>
      </c>
      <c r="I37" s="26">
        <f>10295</f>
        <v>10295</v>
      </c>
      <c r="J37" s="93" t="s">
        <v>670</v>
      </c>
      <c r="K37" s="94" t="s">
        <v>668</v>
      </c>
      <c r="L37" s="29" t="s">
        <v>638</v>
      </c>
      <c r="M37" s="27">
        <f>H37-I37</f>
        <v>35</v>
      </c>
      <c r="N37" s="30"/>
      <c r="O37" s="31"/>
    </row>
    <row r="38" spans="1:15">
      <c r="A38" s="19" t="s">
        <v>117</v>
      </c>
      <c r="B38" s="19" t="s">
        <v>115</v>
      </c>
      <c r="C38" s="24" t="s">
        <v>716</v>
      </c>
      <c r="D38" s="33"/>
      <c r="E38" s="26">
        <v>10100</v>
      </c>
      <c r="F38" s="26">
        <v>300</v>
      </c>
      <c r="G38" s="27">
        <f>JULY!M38</f>
        <v>120</v>
      </c>
      <c r="H38" s="27">
        <f t="shared" si="1"/>
        <v>10520</v>
      </c>
      <c r="I38" s="26">
        <v>10400</v>
      </c>
      <c r="J38" s="93" t="s">
        <v>724</v>
      </c>
      <c r="K38" s="93" t="s">
        <v>725</v>
      </c>
      <c r="L38" s="29" t="s">
        <v>638</v>
      </c>
      <c r="M38" s="27">
        <f t="shared" ref="M38:M55" si="2">H38-I38</f>
        <v>120</v>
      </c>
      <c r="N38" s="30"/>
      <c r="O38" s="31"/>
    </row>
    <row r="39" spans="1:15">
      <c r="A39" s="19" t="s">
        <v>120</v>
      </c>
      <c r="B39" s="19" t="s">
        <v>797</v>
      </c>
      <c r="C39" s="24" t="s">
        <v>796</v>
      </c>
      <c r="D39" s="33">
        <v>10000</v>
      </c>
      <c r="E39" s="26">
        <v>10100</v>
      </c>
      <c r="F39" s="26"/>
      <c r="G39" s="27"/>
      <c r="H39" s="27">
        <f t="shared" si="1"/>
        <v>20100</v>
      </c>
      <c r="I39" s="26">
        <v>20100</v>
      </c>
      <c r="J39" s="93" t="s">
        <v>714</v>
      </c>
      <c r="K39" s="93" t="s">
        <v>715</v>
      </c>
      <c r="L39" s="29" t="s">
        <v>638</v>
      </c>
      <c r="M39" s="27">
        <f t="shared" si="2"/>
        <v>0</v>
      </c>
      <c r="N39" s="30"/>
      <c r="O39" s="31" t="s">
        <v>238</v>
      </c>
    </row>
    <row r="40" spans="1:15">
      <c r="A40" s="19" t="s">
        <v>122</v>
      </c>
      <c r="B40" s="19" t="s">
        <v>174</v>
      </c>
      <c r="C40" s="24" t="s">
        <v>493</v>
      </c>
      <c r="D40" s="33"/>
      <c r="E40" s="26">
        <v>10100</v>
      </c>
      <c r="F40" s="26">
        <v>750</v>
      </c>
      <c r="G40" s="27">
        <f>JULY!M40</f>
        <v>-10550</v>
      </c>
      <c r="H40" s="27">
        <f t="shared" si="1"/>
        <v>300</v>
      </c>
      <c r="I40" s="26">
        <f>750+10100</f>
        <v>10850</v>
      </c>
      <c r="J40" s="93" t="s">
        <v>702</v>
      </c>
      <c r="K40" s="94" t="s">
        <v>703</v>
      </c>
      <c r="L40" s="29" t="s">
        <v>638</v>
      </c>
      <c r="M40" s="27">
        <f t="shared" si="2"/>
        <v>-10550</v>
      </c>
      <c r="N40" s="30"/>
      <c r="O40" s="31" t="s">
        <v>238</v>
      </c>
    </row>
    <row r="41" spans="1:15">
      <c r="A41" s="19" t="s">
        <v>123</v>
      </c>
      <c r="B41" s="19" t="s">
        <v>563</v>
      </c>
      <c r="C41" s="24" t="s">
        <v>564</v>
      </c>
      <c r="D41" s="33"/>
      <c r="E41" s="26">
        <v>10100</v>
      </c>
      <c r="F41" s="26">
        <v>90.000000000003411</v>
      </c>
      <c r="G41" s="27">
        <f>JULY!M41</f>
        <v>2290</v>
      </c>
      <c r="H41" s="27">
        <f t="shared" si="1"/>
        <v>12480.000000000004</v>
      </c>
      <c r="I41" s="26">
        <f>6000</f>
        <v>6000</v>
      </c>
      <c r="J41" s="93" t="s">
        <v>722</v>
      </c>
      <c r="K41" s="93" t="s">
        <v>723</v>
      </c>
      <c r="L41" s="29" t="s">
        <v>638</v>
      </c>
      <c r="M41" s="27">
        <f t="shared" si="2"/>
        <v>6480.0000000000036</v>
      </c>
      <c r="N41" s="30" t="s">
        <v>295</v>
      </c>
      <c r="O41" s="31" t="s">
        <v>238</v>
      </c>
    </row>
    <row r="42" spans="1:15">
      <c r="A42" s="19" t="s">
        <v>126</v>
      </c>
      <c r="B42" s="19" t="s">
        <v>124</v>
      </c>
      <c r="C42" s="24" t="s">
        <v>125</v>
      </c>
      <c r="D42" s="33"/>
      <c r="E42" s="26">
        <v>10100</v>
      </c>
      <c r="F42" s="26">
        <v>239.99999999999915</v>
      </c>
      <c r="G42" s="27">
        <f>JULY!M42</f>
        <v>251</v>
      </c>
      <c r="H42" s="27">
        <f t="shared" si="1"/>
        <v>10591</v>
      </c>
      <c r="I42" s="26">
        <f>10240</f>
        <v>10240</v>
      </c>
      <c r="J42" s="93" t="s">
        <v>653</v>
      </c>
      <c r="K42" s="94" t="s">
        <v>652</v>
      </c>
      <c r="L42" s="29" t="s">
        <v>638</v>
      </c>
      <c r="M42" s="27">
        <f t="shared" si="2"/>
        <v>351</v>
      </c>
      <c r="N42" s="30"/>
      <c r="O42" s="31" t="s">
        <v>238</v>
      </c>
    </row>
    <row r="43" spans="1:15">
      <c r="A43" s="19" t="s">
        <v>127</v>
      </c>
      <c r="B43" s="19" t="s">
        <v>794</v>
      </c>
      <c r="C43" s="24" t="s">
        <v>795</v>
      </c>
      <c r="D43" s="33">
        <v>10000</v>
      </c>
      <c r="E43" s="26">
        <v>10100</v>
      </c>
      <c r="F43" s="26">
        <v>0</v>
      </c>
      <c r="G43" s="27">
        <v>0</v>
      </c>
      <c r="H43" s="27">
        <f t="shared" si="1"/>
        <v>20100</v>
      </c>
      <c r="I43" s="26">
        <f>20100</f>
        <v>20100</v>
      </c>
      <c r="J43" s="93" t="s">
        <v>654</v>
      </c>
      <c r="K43" s="94" t="s">
        <v>655</v>
      </c>
      <c r="L43" s="29" t="s">
        <v>638</v>
      </c>
      <c r="M43" s="27">
        <f t="shared" si="2"/>
        <v>0</v>
      </c>
      <c r="N43" s="30"/>
      <c r="O43" s="31" t="s">
        <v>238</v>
      </c>
    </row>
    <row r="44" spans="1:15">
      <c r="A44" s="19" t="s">
        <v>130</v>
      </c>
      <c r="B44" s="19" t="s">
        <v>128</v>
      </c>
      <c r="C44" s="24" t="s">
        <v>129</v>
      </c>
      <c r="D44" s="33"/>
      <c r="E44" s="26">
        <v>10100</v>
      </c>
      <c r="F44" s="26">
        <v>600</v>
      </c>
      <c r="G44" s="27">
        <f>JULY!M44</f>
        <v>2029.0000000000018</v>
      </c>
      <c r="H44" s="27">
        <f t="shared" si="1"/>
        <v>12729.000000000002</v>
      </c>
      <c r="I44" s="26">
        <f>2000+9000</f>
        <v>11000</v>
      </c>
      <c r="J44" s="93" t="s">
        <v>733</v>
      </c>
      <c r="K44" s="94" t="s">
        <v>736</v>
      </c>
      <c r="L44" s="29" t="s">
        <v>638</v>
      </c>
      <c r="M44" s="27">
        <f t="shared" si="2"/>
        <v>1729.0000000000018</v>
      </c>
      <c r="N44" s="30"/>
      <c r="O44" s="31" t="s">
        <v>238</v>
      </c>
    </row>
    <row r="45" spans="1:15">
      <c r="A45" s="19" t="s">
        <v>133</v>
      </c>
      <c r="B45" s="19" t="s">
        <v>300</v>
      </c>
      <c r="C45" s="24" t="s">
        <v>132</v>
      </c>
      <c r="D45" s="33"/>
      <c r="E45" s="26">
        <v>10100</v>
      </c>
      <c r="F45" s="26">
        <v>465.00000000000125</v>
      </c>
      <c r="G45" s="27">
        <f>JULY!M45</f>
        <v>-16330.000000000002</v>
      </c>
      <c r="H45" s="27">
        <f t="shared" si="1"/>
        <v>-5765.0000000000009</v>
      </c>
      <c r="I45" s="26">
        <f>10465</f>
        <v>10465</v>
      </c>
      <c r="J45" s="93" t="s">
        <v>681</v>
      </c>
      <c r="K45" s="94" t="s">
        <v>682</v>
      </c>
      <c r="L45" s="29" t="s">
        <v>638</v>
      </c>
      <c r="M45" s="27">
        <f t="shared" si="2"/>
        <v>-16230</v>
      </c>
      <c r="N45" s="30"/>
      <c r="O45" s="31" t="s">
        <v>238</v>
      </c>
    </row>
    <row r="46" spans="1:15">
      <c r="A46" s="19" t="s">
        <v>136</v>
      </c>
      <c r="B46" s="19" t="s">
        <v>134</v>
      </c>
      <c r="C46" s="24" t="s">
        <v>135</v>
      </c>
      <c r="D46" s="33"/>
      <c r="E46" s="26">
        <v>10100</v>
      </c>
      <c r="F46" s="26">
        <v>885.00000000000091</v>
      </c>
      <c r="G46" s="27">
        <f>JULY!M46</f>
        <v>-111</v>
      </c>
      <c r="H46" s="27">
        <f t="shared" si="1"/>
        <v>10874</v>
      </c>
      <c r="I46" s="26">
        <f>10985</f>
        <v>10985</v>
      </c>
      <c r="J46" s="93" t="s">
        <v>660</v>
      </c>
      <c r="K46" s="94" t="s">
        <v>658</v>
      </c>
      <c r="L46" s="29" t="s">
        <v>638</v>
      </c>
      <c r="M46" s="27">
        <f t="shared" si="2"/>
        <v>-111</v>
      </c>
      <c r="N46" s="30"/>
      <c r="O46" s="31" t="s">
        <v>238</v>
      </c>
    </row>
    <row r="47" spans="1:15">
      <c r="A47" s="19" t="s">
        <v>139</v>
      </c>
      <c r="B47" s="19" t="s">
        <v>137</v>
      </c>
      <c r="C47" s="24" t="s">
        <v>138</v>
      </c>
      <c r="D47" s="33"/>
      <c r="E47" s="26">
        <v>10100</v>
      </c>
      <c r="F47" s="26">
        <v>330.00000000000045</v>
      </c>
      <c r="G47" s="27">
        <f>JULY!M47</f>
        <v>90</v>
      </c>
      <c r="H47" s="27">
        <f t="shared" si="1"/>
        <v>10520</v>
      </c>
      <c r="I47" s="26">
        <f>10430</f>
        <v>10430</v>
      </c>
      <c r="J47" s="93" t="s">
        <v>659</v>
      </c>
      <c r="K47" s="94" t="s">
        <v>658</v>
      </c>
      <c r="L47" s="29" t="s">
        <v>638</v>
      </c>
      <c r="M47" s="27">
        <f t="shared" si="2"/>
        <v>90</v>
      </c>
      <c r="N47" s="30"/>
      <c r="O47" s="31"/>
    </row>
    <row r="48" spans="1:15">
      <c r="A48" s="19" t="s">
        <v>142</v>
      </c>
      <c r="B48" s="19" t="s">
        <v>140</v>
      </c>
      <c r="C48" s="24" t="s">
        <v>293</v>
      </c>
      <c r="D48" s="33"/>
      <c r="E48" s="26">
        <v>10100</v>
      </c>
      <c r="F48" s="26">
        <v>119.99999999999744</v>
      </c>
      <c r="G48" s="27">
        <f>JULY!M48</f>
        <v>100.00000000000182</v>
      </c>
      <c r="H48" s="27">
        <f t="shared" si="1"/>
        <v>10320</v>
      </c>
      <c r="I48" s="26">
        <f>10220</f>
        <v>10220</v>
      </c>
      <c r="J48" s="93" t="s">
        <v>693</v>
      </c>
      <c r="K48" s="94" t="s">
        <v>694</v>
      </c>
      <c r="L48" s="29" t="s">
        <v>638</v>
      </c>
      <c r="M48" s="27">
        <f t="shared" si="2"/>
        <v>100</v>
      </c>
      <c r="N48" s="30"/>
      <c r="O48" s="31" t="s">
        <v>238</v>
      </c>
    </row>
    <row r="49" spans="1:15">
      <c r="A49" s="19" t="s">
        <v>145</v>
      </c>
      <c r="B49" s="19" t="s">
        <v>143</v>
      </c>
      <c r="C49" s="24" t="s">
        <v>144</v>
      </c>
      <c r="D49" s="33"/>
      <c r="E49" s="26">
        <v>10100</v>
      </c>
      <c r="F49" s="26">
        <v>344.99999999999955</v>
      </c>
      <c r="G49" s="27">
        <f>JULY!M49</f>
        <v>174.99999999999818</v>
      </c>
      <c r="H49" s="27">
        <f t="shared" si="1"/>
        <v>10619.999999999998</v>
      </c>
      <c r="I49" s="26">
        <f>10445</f>
        <v>10445</v>
      </c>
      <c r="J49" s="93" t="s">
        <v>667</v>
      </c>
      <c r="K49" s="94" t="s">
        <v>668</v>
      </c>
      <c r="L49" s="29" t="s">
        <v>638</v>
      </c>
      <c r="M49" s="27">
        <f t="shared" si="2"/>
        <v>174.99999999999818</v>
      </c>
      <c r="N49" s="30"/>
      <c r="O49" s="31"/>
    </row>
    <row r="50" spans="1:15">
      <c r="A50" s="19" t="s">
        <v>148</v>
      </c>
      <c r="B50" s="19" t="s">
        <v>146</v>
      </c>
      <c r="C50" s="24" t="s">
        <v>147</v>
      </c>
      <c r="D50" s="33"/>
      <c r="E50" s="26">
        <v>10100</v>
      </c>
      <c r="F50" s="26">
        <v>209.99999999999977</v>
      </c>
      <c r="G50" s="27">
        <f>JULY!M50</f>
        <v>-10</v>
      </c>
      <c r="H50" s="27">
        <f t="shared" si="1"/>
        <v>10300</v>
      </c>
      <c r="I50" s="26">
        <f>10310</f>
        <v>10310</v>
      </c>
      <c r="J50" s="93" t="s">
        <v>680</v>
      </c>
      <c r="K50" s="94">
        <v>46242</v>
      </c>
      <c r="L50" s="29" t="s">
        <v>638</v>
      </c>
      <c r="M50" s="27">
        <f t="shared" si="2"/>
        <v>-10</v>
      </c>
      <c r="N50" s="30"/>
      <c r="O50" s="31"/>
    </row>
    <row r="51" spans="1:15">
      <c r="A51" s="19" t="s">
        <v>156</v>
      </c>
      <c r="B51" s="19" t="s">
        <v>159</v>
      </c>
      <c r="C51" s="24" t="s">
        <v>285</v>
      </c>
      <c r="D51" s="33"/>
      <c r="E51" s="26">
        <v>10100</v>
      </c>
      <c r="F51" s="26">
        <v>360.00000000000085</v>
      </c>
      <c r="G51" s="27">
        <f>JULY!M51</f>
        <v>-10500</v>
      </c>
      <c r="H51" s="27">
        <f t="shared" si="1"/>
        <v>-39.999999999999147</v>
      </c>
      <c r="I51" s="26"/>
      <c r="J51" s="93"/>
      <c r="K51" s="94"/>
      <c r="L51" s="29" t="s">
        <v>638</v>
      </c>
      <c r="M51" s="27">
        <f t="shared" si="2"/>
        <v>-39.999999999999147</v>
      </c>
      <c r="N51" s="30"/>
      <c r="O51" s="31" t="s">
        <v>238</v>
      </c>
    </row>
    <row r="52" spans="1:15">
      <c r="A52" s="19" t="s">
        <v>157</v>
      </c>
      <c r="B52" s="19" t="s">
        <v>149</v>
      </c>
      <c r="C52" s="24" t="s">
        <v>150</v>
      </c>
      <c r="D52" s="33"/>
      <c r="E52" s="26">
        <v>10100</v>
      </c>
      <c r="F52" s="26">
        <v>344.99999999999955</v>
      </c>
      <c r="G52" s="27">
        <f>JULY!M52</f>
        <v>-36000</v>
      </c>
      <c r="H52" s="27">
        <f t="shared" si="1"/>
        <v>-25555</v>
      </c>
      <c r="I52" s="26"/>
      <c r="J52" s="93"/>
      <c r="K52" s="94"/>
      <c r="L52" s="29" t="s">
        <v>638</v>
      </c>
      <c r="M52" s="27">
        <f t="shared" si="2"/>
        <v>-25555</v>
      </c>
      <c r="N52" s="30"/>
      <c r="O52" s="31"/>
    </row>
    <row r="53" spans="1:15">
      <c r="A53" s="19" t="s">
        <v>158</v>
      </c>
      <c r="B53" s="79" t="s">
        <v>160</v>
      </c>
      <c r="C53" s="88" t="s">
        <v>311</v>
      </c>
      <c r="D53" s="33"/>
      <c r="E53" s="26">
        <v>10100</v>
      </c>
      <c r="F53" s="26">
        <v>554.99999999999829</v>
      </c>
      <c r="G53" s="27">
        <f>JULY!M53</f>
        <v>-10209.999999999998</v>
      </c>
      <c r="H53" s="27">
        <f t="shared" si="1"/>
        <v>445.00000000000011</v>
      </c>
      <c r="I53" s="26"/>
      <c r="J53" s="93"/>
      <c r="K53" s="94"/>
      <c r="L53" s="29" t="s">
        <v>638</v>
      </c>
      <c r="M53" s="27">
        <f t="shared" si="2"/>
        <v>445.00000000000011</v>
      </c>
      <c r="N53" s="30"/>
      <c r="O53" s="31"/>
    </row>
    <row r="54" spans="1:15">
      <c r="A54" s="19" t="s">
        <v>151</v>
      </c>
      <c r="B54" s="19" t="s">
        <v>152</v>
      </c>
      <c r="C54" s="24" t="s">
        <v>153</v>
      </c>
      <c r="D54" s="33"/>
      <c r="E54" s="26">
        <v>10100</v>
      </c>
      <c r="F54" s="26">
        <v>375</v>
      </c>
      <c r="G54" s="27">
        <f>JULY!M54</f>
        <v>-79.999999999998181</v>
      </c>
      <c r="H54" s="27">
        <f t="shared" si="1"/>
        <v>10395.000000000002</v>
      </c>
      <c r="I54" s="26">
        <f>10475</f>
        <v>10475</v>
      </c>
      <c r="J54" s="93" t="s">
        <v>669</v>
      </c>
      <c r="K54" s="94" t="s">
        <v>668</v>
      </c>
      <c r="L54" s="29" t="s">
        <v>638</v>
      </c>
      <c r="M54" s="27">
        <f t="shared" si="2"/>
        <v>-79.999999999998181</v>
      </c>
      <c r="N54" s="30"/>
      <c r="O54" s="31" t="s">
        <v>238</v>
      </c>
    </row>
    <row r="55" spans="1:15">
      <c r="A55" s="19" t="s">
        <v>161</v>
      </c>
      <c r="B55" s="19" t="s">
        <v>610</v>
      </c>
      <c r="C55" s="24" t="s">
        <v>568</v>
      </c>
      <c r="D55" s="33"/>
      <c r="E55" s="26">
        <v>10100</v>
      </c>
      <c r="F55" s="26">
        <v>150</v>
      </c>
      <c r="G55" s="27">
        <f>JULY!M55</f>
        <v>100</v>
      </c>
      <c r="H55" s="27">
        <f t="shared" si="1"/>
        <v>10350</v>
      </c>
      <c r="I55" s="26">
        <f>10250</f>
        <v>10250</v>
      </c>
      <c r="J55" s="93" t="s">
        <v>651</v>
      </c>
      <c r="K55" s="94" t="s">
        <v>652</v>
      </c>
      <c r="L55" s="29" t="s">
        <v>638</v>
      </c>
      <c r="M55" s="27">
        <f t="shared" si="2"/>
        <v>100</v>
      </c>
      <c r="N55" s="30"/>
      <c r="O55" s="31" t="s">
        <v>238</v>
      </c>
    </row>
    <row r="56" spans="1:15">
      <c r="A56" s="19" t="s">
        <v>162</v>
      </c>
      <c r="B56" s="19" t="s">
        <v>565</v>
      </c>
      <c r="C56" s="24" t="s">
        <v>566</v>
      </c>
      <c r="D56" s="33"/>
      <c r="E56" s="26">
        <v>10100</v>
      </c>
      <c r="F56" s="26">
        <v>314.99999999999915</v>
      </c>
      <c r="G56" s="27">
        <f>JULY!M56</f>
        <v>440</v>
      </c>
      <c r="H56" s="27">
        <f t="shared" si="1"/>
        <v>10855</v>
      </c>
      <c r="I56" s="26">
        <f>10315</f>
        <v>10315</v>
      </c>
      <c r="J56" s="93" t="s">
        <v>656</v>
      </c>
      <c r="K56" s="94" t="s">
        <v>655</v>
      </c>
      <c r="L56" s="29" t="s">
        <v>638</v>
      </c>
      <c r="M56" s="27">
        <f>H56-I56</f>
        <v>540</v>
      </c>
      <c r="N56" s="30"/>
      <c r="O56" s="31" t="s">
        <v>238</v>
      </c>
    </row>
    <row r="57" spans="1:15">
      <c r="A57" s="52" t="s">
        <v>25</v>
      </c>
      <c r="B57" s="19"/>
      <c r="C57" s="53"/>
      <c r="D57" s="54"/>
      <c r="E57" s="54">
        <f>SUM(E9:E56)</f>
        <v>480700</v>
      </c>
      <c r="F57" s="54">
        <f>SUM(F9:F56)</f>
        <v>19994.999999999996</v>
      </c>
      <c r="G57" s="54">
        <f>SUM(G9:G56)</f>
        <v>-118019</v>
      </c>
      <c r="H57" s="54">
        <f>SUM(H9:H56)</f>
        <v>412676</v>
      </c>
      <c r="I57" s="54">
        <f>SUM(I9:I56)</f>
        <v>468070</v>
      </c>
      <c r="J57" s="54"/>
      <c r="K57" s="54"/>
      <c r="L57" s="54"/>
      <c r="M57" s="54">
        <f>SUM(M9:M56)</f>
        <v>-55394</v>
      </c>
      <c r="N57" s="55"/>
      <c r="O57" s="55"/>
    </row>
    <row r="58" spans="1:15">
      <c r="A58" s="12"/>
      <c r="B58" s="19"/>
      <c r="C58" s="53"/>
      <c r="D58" s="56"/>
      <c r="E58" s="57"/>
      <c r="F58" s="57"/>
      <c r="G58" s="58"/>
      <c r="H58" s="57"/>
      <c r="I58" s="57"/>
      <c r="J58" s="12"/>
      <c r="K58" s="12"/>
      <c r="L58" s="12"/>
      <c r="M58" s="57"/>
      <c r="N58" s="57"/>
      <c r="O58" s="57"/>
    </row>
    <row r="59" spans="1:15">
      <c r="A59" s="59" t="s">
        <v>26</v>
      </c>
      <c r="B59" s="19"/>
      <c r="C59" s="53"/>
      <c r="D59" s="56"/>
      <c r="E59" s="57"/>
      <c r="F59" s="57"/>
      <c r="G59" s="58"/>
      <c r="H59" s="57"/>
      <c r="I59" s="57"/>
      <c r="J59" s="12"/>
      <c r="K59" s="12"/>
      <c r="L59" s="12"/>
      <c r="M59" s="57"/>
      <c r="N59" s="57"/>
      <c r="O59" s="57"/>
    </row>
    <row r="60" spans="1:15">
      <c r="A60" s="19" t="s">
        <v>27</v>
      </c>
      <c r="B60" s="19"/>
      <c r="C60" s="53"/>
      <c r="D60" s="19"/>
      <c r="E60" s="19"/>
      <c r="F60" s="19"/>
      <c r="G60" s="20"/>
      <c r="H60" s="19"/>
      <c r="I60" s="60">
        <f>6%*I57</f>
        <v>28084.2</v>
      </c>
      <c r="J60" s="19"/>
      <c r="K60" s="19"/>
      <c r="L60" s="19"/>
      <c r="M60" s="19"/>
      <c r="N60" s="15"/>
      <c r="O60" s="19"/>
    </row>
    <row r="61" spans="1:15" ht="16.5">
      <c r="A61" s="15" t="s">
        <v>28</v>
      </c>
      <c r="B61" s="15"/>
      <c r="C61" s="15"/>
      <c r="D61" s="15"/>
      <c r="E61" s="15"/>
      <c r="F61" s="15"/>
      <c r="G61" s="61"/>
      <c r="H61" s="15"/>
      <c r="I61" s="62">
        <f>SUM(I60:I60)</f>
        <v>28084.2</v>
      </c>
      <c r="J61" s="15"/>
      <c r="K61" s="15"/>
      <c r="L61" s="19"/>
      <c r="M61" s="15"/>
      <c r="N61" s="15"/>
      <c r="O61" s="15"/>
    </row>
    <row r="62" spans="1:15">
      <c r="A62" s="15"/>
      <c r="B62" s="15"/>
      <c r="C62" s="15"/>
      <c r="D62" s="15"/>
      <c r="E62" s="15"/>
      <c r="F62" s="15"/>
      <c r="G62" s="61"/>
      <c r="H62" s="15"/>
      <c r="I62" s="63"/>
      <c r="J62" s="15"/>
      <c r="K62" s="15"/>
      <c r="L62" s="15"/>
      <c r="M62" s="15"/>
      <c r="N62" s="15"/>
      <c r="O62" s="15"/>
    </row>
    <row r="63" spans="1:15">
      <c r="A63" s="2" t="s">
        <v>29</v>
      </c>
      <c r="B63" s="2"/>
      <c r="C63" s="2"/>
      <c r="D63" s="2"/>
      <c r="E63" s="2"/>
      <c r="F63" s="2"/>
      <c r="G63" s="64"/>
      <c r="H63" s="2"/>
      <c r="I63" s="47">
        <f>JUNE!M64</f>
        <v>29273.1</v>
      </c>
      <c r="J63" s="65" t="s">
        <v>30</v>
      </c>
      <c r="K63" s="65"/>
      <c r="L63" s="65" t="s">
        <v>30</v>
      </c>
      <c r="M63" s="66" t="s">
        <v>31</v>
      </c>
    </row>
    <row r="64" spans="1:15" ht="15.75" thickBot="1">
      <c r="A64" s="1" t="s">
        <v>32</v>
      </c>
      <c r="B64" s="1"/>
      <c r="C64" s="1"/>
      <c r="D64" s="1"/>
      <c r="E64" s="1"/>
      <c r="F64" s="1"/>
      <c r="G64" s="67"/>
      <c r="H64" s="68"/>
      <c r="I64" s="69">
        <f>I61</f>
        <v>28084.2</v>
      </c>
      <c r="J64" s="70"/>
      <c r="K64" s="70"/>
      <c r="L64" s="71"/>
      <c r="M64" s="72">
        <f>I64-J64-L64</f>
        <v>28084.2</v>
      </c>
    </row>
    <row r="65" spans="1:15" ht="15.75" thickTop="1">
      <c r="A65" s="1"/>
      <c r="B65" s="2"/>
      <c r="C65" s="2"/>
      <c r="D65" s="68"/>
      <c r="E65" s="68"/>
      <c r="F65" s="68"/>
      <c r="G65" s="70"/>
      <c r="H65" s="2"/>
      <c r="I65" s="73"/>
      <c r="J65" s="19"/>
      <c r="K65" s="19"/>
      <c r="L65" s="2"/>
      <c r="M65" s="19"/>
      <c r="N65" s="2"/>
      <c r="O65" s="68"/>
    </row>
    <row r="66" spans="1:15">
      <c r="A66" s="2" t="s">
        <v>33</v>
      </c>
      <c r="B66" s="2"/>
      <c r="C66" s="2"/>
      <c r="D66" s="2"/>
      <c r="E66" s="2"/>
      <c r="F66" s="2"/>
      <c r="G66" s="64"/>
      <c r="H66" s="2"/>
      <c r="I66" s="27"/>
      <c r="J66" s="19"/>
      <c r="K66" s="19"/>
      <c r="L66" s="2"/>
      <c r="M66" s="74">
        <v>46265</v>
      </c>
      <c r="N66" s="75"/>
      <c r="O66" s="76"/>
    </row>
    <row r="67" spans="1:15">
      <c r="A67" s="44"/>
      <c r="B67" s="44"/>
      <c r="C67" s="44"/>
      <c r="D67" s="44"/>
      <c r="E67" s="44"/>
      <c r="F67" s="44"/>
      <c r="G67" s="44"/>
      <c r="H67" s="44"/>
      <c r="L67" s="44"/>
      <c r="N67" s="44"/>
      <c r="O67" s="44"/>
    </row>
    <row r="68" spans="1:15">
      <c r="A68" s="44"/>
      <c r="B68" s="44"/>
      <c r="C68" s="44"/>
      <c r="D68" s="44"/>
      <c r="E68" s="44"/>
      <c r="F68" s="44"/>
      <c r="G68" s="44"/>
      <c r="H68" s="44"/>
      <c r="L68" s="44"/>
      <c r="N68" s="44"/>
      <c r="O68" s="44"/>
    </row>
    <row r="69" spans="1:15">
      <c r="A69" s="44"/>
      <c r="B69" s="44"/>
      <c r="C69" s="44"/>
      <c r="D69" s="44"/>
      <c r="E69" s="44"/>
      <c r="F69" s="44"/>
      <c r="G69" s="44"/>
      <c r="H69" s="44"/>
      <c r="L69" s="44"/>
      <c r="N69" s="44"/>
      <c r="O69" s="44"/>
    </row>
    <row r="70" spans="1:15">
      <c r="E70">
        <f>I57/H57*100</f>
        <v>113.42312128643294</v>
      </c>
    </row>
  </sheetData>
  <mergeCells count="1">
    <mergeCell ref="A3:M3"/>
  </mergeCells>
  <pageMargins left="0.25" right="0.25" top="0.75" bottom="0.75" header="0.3" footer="0.3"/>
  <pageSetup scale="21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D544-F812-4DC3-B3E1-5AF0218ECD60}">
  <dimension ref="A1:O70"/>
  <sheetViews>
    <sheetView tabSelected="1" zoomScale="85" zoomScaleNormal="85" workbookViewId="0">
      <selection activeCell="L19" sqref="L19"/>
    </sheetView>
  </sheetViews>
  <sheetFormatPr defaultRowHeight="15"/>
  <cols>
    <col min="1" max="1" width="9.140625" customWidth="1"/>
    <col min="2" max="2" width="17.85546875" customWidth="1"/>
    <col min="3" max="3" width="15.5703125" customWidth="1"/>
    <col min="4" max="4" width="12.7109375" customWidth="1"/>
    <col min="5" max="5" width="13" customWidth="1"/>
    <col min="6" max="6" width="11.7109375" customWidth="1"/>
    <col min="7" max="7" width="11" customWidth="1"/>
    <col min="8" max="8" width="11.42578125" customWidth="1"/>
    <col min="9" max="9" width="13.42578125" customWidth="1"/>
    <col min="10" max="10" width="16.42578125" customWidth="1"/>
    <col min="11" max="11" width="11.5703125" customWidth="1"/>
    <col min="12" max="12" width="12.28515625" customWidth="1"/>
    <col min="13" max="13" width="13.28515625" customWidth="1"/>
    <col min="15" max="15" width="20.28515625" customWidth="1"/>
  </cols>
  <sheetData>
    <row r="1" spans="1:15">
      <c r="A1" s="1"/>
      <c r="B1" s="2"/>
      <c r="C1" s="3" t="s">
        <v>0</v>
      </c>
      <c r="D1" s="4"/>
      <c r="E1" s="2"/>
      <c r="F1" s="2"/>
      <c r="G1" s="5"/>
      <c r="H1" s="6"/>
      <c r="I1" s="7"/>
      <c r="J1" s="8"/>
      <c r="K1" s="8"/>
      <c r="L1" s="9"/>
      <c r="M1" s="10"/>
      <c r="N1" s="11"/>
      <c r="O1" s="11"/>
    </row>
    <row r="2" spans="1:15">
      <c r="A2" s="1" t="s">
        <v>1</v>
      </c>
      <c r="B2" s="1"/>
      <c r="C2" s="1"/>
      <c r="D2" s="1"/>
      <c r="E2" s="6"/>
      <c r="F2" s="6"/>
      <c r="G2" s="5"/>
      <c r="H2" s="6"/>
      <c r="I2" s="7"/>
      <c r="J2" s="8"/>
      <c r="K2" s="8"/>
      <c r="L2" s="9"/>
      <c r="M2" s="10"/>
      <c r="N2" s="11"/>
      <c r="O2" s="11"/>
    </row>
    <row r="3" spans="1:15">
      <c r="A3" s="104" t="s">
        <v>596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"/>
      <c r="O3" s="103"/>
    </row>
    <row r="4" spans="1:15">
      <c r="A4" s="12"/>
      <c r="B4" s="12"/>
      <c r="C4" s="12"/>
      <c r="D4" s="7"/>
      <c r="E4" s="7"/>
      <c r="F4" s="7"/>
      <c r="G4" s="13"/>
      <c r="H4" s="7"/>
      <c r="I4" s="7"/>
      <c r="J4" s="8" t="s">
        <v>3</v>
      </c>
      <c r="K4" s="8"/>
      <c r="L4" s="8"/>
      <c r="M4" s="14"/>
      <c r="N4" s="14"/>
      <c r="O4" s="14"/>
    </row>
    <row r="5" spans="1:15">
      <c r="A5" s="15" t="s">
        <v>34</v>
      </c>
      <c r="B5" s="15"/>
      <c r="C5" s="15"/>
      <c r="D5" s="14"/>
      <c r="E5" s="14"/>
      <c r="F5" s="14"/>
      <c r="G5" s="16"/>
      <c r="H5" s="14"/>
      <c r="I5" s="14"/>
      <c r="J5" s="17" t="s">
        <v>4</v>
      </c>
      <c r="K5" s="17"/>
      <c r="L5" s="17"/>
      <c r="M5" s="14"/>
      <c r="N5" s="14"/>
      <c r="O5" s="14"/>
    </row>
    <row r="6" spans="1:15">
      <c r="A6" s="15" t="s">
        <v>5</v>
      </c>
      <c r="B6" s="18"/>
      <c r="C6" s="15"/>
      <c r="D6" s="19"/>
      <c r="E6" s="19"/>
      <c r="F6" s="19"/>
      <c r="G6" s="20"/>
      <c r="H6" s="19"/>
      <c r="I6" s="14" t="s">
        <v>6</v>
      </c>
      <c r="J6" s="17" t="s">
        <v>197</v>
      </c>
      <c r="K6" s="17"/>
      <c r="L6" s="17"/>
      <c r="M6" s="14"/>
      <c r="N6" s="14"/>
      <c r="O6" s="14"/>
    </row>
    <row r="7" spans="1:15">
      <c r="A7" s="15"/>
      <c r="B7" s="15"/>
      <c r="C7" s="15"/>
      <c r="D7" s="19"/>
      <c r="E7" s="19"/>
      <c r="F7" s="19"/>
      <c r="G7" s="20"/>
      <c r="H7" s="19"/>
      <c r="I7" s="14" t="s">
        <v>7</v>
      </c>
      <c r="J7" s="78" t="s">
        <v>198</v>
      </c>
      <c r="K7" s="78"/>
      <c r="L7" s="17"/>
      <c r="M7" s="14"/>
      <c r="N7" s="14"/>
      <c r="O7" s="14"/>
    </row>
    <row r="8" spans="1:15" ht="24.75">
      <c r="A8" s="12" t="s">
        <v>8</v>
      </c>
      <c r="B8" s="12" t="s">
        <v>9</v>
      </c>
      <c r="C8" s="12" t="s">
        <v>10</v>
      </c>
      <c r="D8" s="21" t="s">
        <v>11</v>
      </c>
      <c r="E8" s="22" t="s">
        <v>12</v>
      </c>
      <c r="F8" s="22" t="s">
        <v>163</v>
      </c>
      <c r="G8" s="13" t="s">
        <v>13</v>
      </c>
      <c r="H8" s="23" t="s">
        <v>14</v>
      </c>
      <c r="I8" s="7" t="s">
        <v>15</v>
      </c>
      <c r="J8" s="12" t="s">
        <v>16</v>
      </c>
      <c r="K8" s="12" t="s">
        <v>207</v>
      </c>
      <c r="L8" s="12" t="s">
        <v>17</v>
      </c>
      <c r="M8" s="7" t="s">
        <v>18</v>
      </c>
      <c r="N8" s="7" t="s">
        <v>20</v>
      </c>
      <c r="O8" s="7" t="s">
        <v>19</v>
      </c>
    </row>
    <row r="9" spans="1:15">
      <c r="A9" s="19" t="s">
        <v>35</v>
      </c>
      <c r="B9" s="19" t="s">
        <v>45</v>
      </c>
      <c r="C9" s="24" t="s">
        <v>46</v>
      </c>
      <c r="D9" s="25"/>
      <c r="E9" s="26">
        <v>10100</v>
      </c>
      <c r="F9" s="26">
        <v>570</v>
      </c>
      <c r="G9" s="27">
        <f>AUGUST!M9</f>
        <v>0</v>
      </c>
      <c r="H9" s="27">
        <f>D9+E9+G9+F9</f>
        <v>10670</v>
      </c>
      <c r="I9" s="26">
        <f>10670</f>
        <v>10670</v>
      </c>
      <c r="J9" s="28" t="s">
        <v>752</v>
      </c>
      <c r="K9" s="89">
        <v>46268</v>
      </c>
      <c r="L9" s="29" t="s">
        <v>707</v>
      </c>
      <c r="M9" s="27">
        <f t="shared" ref="M9:M35" si="0">H9-I9</f>
        <v>0</v>
      </c>
      <c r="N9" s="31" t="s">
        <v>238</v>
      </c>
      <c r="O9" s="31"/>
    </row>
    <row r="10" spans="1:15">
      <c r="A10" s="32" t="s">
        <v>37</v>
      </c>
      <c r="B10" s="32" t="s">
        <v>47</v>
      </c>
      <c r="C10" s="24" t="s">
        <v>48</v>
      </c>
      <c r="D10" s="33"/>
      <c r="E10" s="26">
        <v>10100</v>
      </c>
      <c r="F10" s="26">
        <v>390</v>
      </c>
      <c r="G10" s="27">
        <f>AUGUST!M10</f>
        <v>55</v>
      </c>
      <c r="H10" s="27">
        <f t="shared" ref="H10:H56" si="1">D10+E10+G10+F10</f>
        <v>10545</v>
      </c>
      <c r="I10" s="26">
        <f>10500</f>
        <v>10500</v>
      </c>
      <c r="J10" s="28" t="s">
        <v>755</v>
      </c>
      <c r="K10" s="89">
        <v>46274</v>
      </c>
      <c r="L10" s="29" t="s">
        <v>707</v>
      </c>
      <c r="M10" s="27">
        <f t="shared" si="0"/>
        <v>45</v>
      </c>
      <c r="N10" s="31" t="s">
        <v>238</v>
      </c>
      <c r="O10" s="31"/>
    </row>
    <row r="11" spans="1:15">
      <c r="A11" s="19" t="s">
        <v>36</v>
      </c>
      <c r="B11" s="32" t="s">
        <v>477</v>
      </c>
      <c r="C11" s="24" t="s">
        <v>284</v>
      </c>
      <c r="D11" s="34"/>
      <c r="E11" s="26">
        <v>10100</v>
      </c>
      <c r="F11" s="26">
        <v>180</v>
      </c>
      <c r="G11" s="27">
        <f>AUGUST!M11</f>
        <v>2010</v>
      </c>
      <c r="H11" s="27">
        <f t="shared" si="1"/>
        <v>12290</v>
      </c>
      <c r="I11" s="26">
        <f>4500+7790</f>
        <v>12290</v>
      </c>
      <c r="J11" s="28" t="s">
        <v>792</v>
      </c>
      <c r="K11" s="89" t="s">
        <v>793</v>
      </c>
      <c r="L11" s="29" t="s">
        <v>707</v>
      </c>
      <c r="M11" s="27">
        <f t="shared" si="0"/>
        <v>0</v>
      </c>
      <c r="N11" s="31" t="s">
        <v>238</v>
      </c>
      <c r="O11" s="31"/>
    </row>
    <row r="12" spans="1:15">
      <c r="A12" s="19" t="s">
        <v>38</v>
      </c>
      <c r="B12" s="19" t="s">
        <v>506</v>
      </c>
      <c r="C12" s="24" t="s">
        <v>507</v>
      </c>
      <c r="D12" s="34"/>
      <c r="E12" s="26">
        <v>10100</v>
      </c>
      <c r="F12" s="26">
        <v>255</v>
      </c>
      <c r="G12" s="27">
        <f>AUGUST!M12</f>
        <v>-4645.0000000000018</v>
      </c>
      <c r="H12" s="27">
        <f t="shared" si="1"/>
        <v>5709.9999999999982</v>
      </c>
      <c r="I12" s="26">
        <f>10255</f>
        <v>10255</v>
      </c>
      <c r="J12" s="28" t="s">
        <v>758</v>
      </c>
      <c r="K12" s="89" t="s">
        <v>757</v>
      </c>
      <c r="L12" s="29" t="s">
        <v>707</v>
      </c>
      <c r="M12" s="27">
        <f t="shared" si="0"/>
        <v>-4545.0000000000018</v>
      </c>
      <c r="N12" s="31" t="s">
        <v>238</v>
      </c>
      <c r="O12" s="31"/>
    </row>
    <row r="13" spans="1:15">
      <c r="A13" s="19" t="s">
        <v>39</v>
      </c>
      <c r="B13" s="32" t="s">
        <v>50</v>
      </c>
      <c r="C13" s="36" t="s">
        <v>51</v>
      </c>
      <c r="D13" s="33"/>
      <c r="E13" s="26">
        <v>10100</v>
      </c>
      <c r="F13" s="26">
        <v>375</v>
      </c>
      <c r="G13" s="27">
        <f>AUGUST!M13</f>
        <v>14035</v>
      </c>
      <c r="H13" s="27">
        <f t="shared" si="1"/>
        <v>24510</v>
      </c>
      <c r="I13" s="26">
        <f>22000</f>
        <v>22000</v>
      </c>
      <c r="J13" s="28" t="s">
        <v>780</v>
      </c>
      <c r="K13" s="28" t="s">
        <v>781</v>
      </c>
      <c r="L13" s="29" t="s">
        <v>707</v>
      </c>
      <c r="M13" s="27">
        <f t="shared" si="0"/>
        <v>2510</v>
      </c>
      <c r="N13" s="31" t="s">
        <v>238</v>
      </c>
      <c r="O13" s="31" t="s">
        <v>785</v>
      </c>
    </row>
    <row r="14" spans="1:15">
      <c r="A14" s="19" t="s">
        <v>40</v>
      </c>
      <c r="B14" s="19" t="s">
        <v>509</v>
      </c>
      <c r="C14" s="24" t="s">
        <v>558</v>
      </c>
      <c r="D14" s="34"/>
      <c r="E14" s="26">
        <v>10100</v>
      </c>
      <c r="F14" s="26">
        <v>300</v>
      </c>
      <c r="G14" s="27">
        <f>AUGUST!M14</f>
        <v>1079.9999999999982</v>
      </c>
      <c r="H14" s="27">
        <f t="shared" si="1"/>
        <v>11479.999999999998</v>
      </c>
      <c r="I14" s="26">
        <f>10300</f>
        <v>10300</v>
      </c>
      <c r="J14" s="37" t="s">
        <v>729</v>
      </c>
      <c r="K14" s="90">
        <v>46266</v>
      </c>
      <c r="L14" s="29" t="s">
        <v>707</v>
      </c>
      <c r="M14" s="27">
        <f t="shared" si="0"/>
        <v>1179.9999999999982</v>
      </c>
      <c r="N14" s="31" t="s">
        <v>238</v>
      </c>
      <c r="O14" s="31" t="s">
        <v>786</v>
      </c>
    </row>
    <row r="15" spans="1:15">
      <c r="A15" s="38" t="s">
        <v>41</v>
      </c>
      <c r="B15" s="2" t="s">
        <v>467</v>
      </c>
      <c r="C15" s="39" t="s">
        <v>468</v>
      </c>
      <c r="D15" s="40"/>
      <c r="E15" s="41">
        <v>10100</v>
      </c>
      <c r="F15" s="41">
        <v>165</v>
      </c>
      <c r="G15" s="27">
        <f>AUGUST!M15</f>
        <v>109.99999999999957</v>
      </c>
      <c r="H15" s="27">
        <f t="shared" si="1"/>
        <v>10375</v>
      </c>
      <c r="I15" s="26">
        <f>10000</f>
        <v>10000</v>
      </c>
      <c r="J15" s="28" t="s">
        <v>730</v>
      </c>
      <c r="K15" s="89" t="s">
        <v>805</v>
      </c>
      <c r="L15" s="29" t="s">
        <v>707</v>
      </c>
      <c r="M15" s="27">
        <f t="shared" si="0"/>
        <v>375</v>
      </c>
      <c r="N15" s="31" t="s">
        <v>238</v>
      </c>
      <c r="O15" s="31" t="s">
        <v>787</v>
      </c>
    </row>
    <row r="16" spans="1:15">
      <c r="A16" s="19" t="s">
        <v>42</v>
      </c>
      <c r="B16" s="19" t="s">
        <v>56</v>
      </c>
      <c r="C16" s="24" t="s">
        <v>470</v>
      </c>
      <c r="D16" s="34"/>
      <c r="E16" s="26">
        <v>12100</v>
      </c>
      <c r="F16" s="26">
        <v>750</v>
      </c>
      <c r="G16" s="27">
        <f>AUGUST!M16</f>
        <v>600.99999999999818</v>
      </c>
      <c r="H16" s="27">
        <f t="shared" si="1"/>
        <v>13450.999999999998</v>
      </c>
      <c r="I16" s="26">
        <v>12850</v>
      </c>
      <c r="J16" s="37" t="s">
        <v>783</v>
      </c>
      <c r="K16" s="37" t="s">
        <v>401</v>
      </c>
      <c r="L16" s="29" t="s">
        <v>707</v>
      </c>
      <c r="M16" s="27">
        <f t="shared" si="0"/>
        <v>600.99999999999818</v>
      </c>
      <c r="N16" s="31" t="s">
        <v>238</v>
      </c>
      <c r="O16" s="31" t="s">
        <v>789</v>
      </c>
    </row>
    <row r="17" spans="1:15">
      <c r="A17" s="19" t="s">
        <v>43</v>
      </c>
      <c r="B17" s="19" t="s">
        <v>58</v>
      </c>
      <c r="C17" s="24" t="s">
        <v>59</v>
      </c>
      <c r="D17" s="34"/>
      <c r="E17" s="26">
        <v>14100</v>
      </c>
      <c r="F17" s="26">
        <v>1110</v>
      </c>
      <c r="G17" s="27">
        <f>AUGUST!M17</f>
        <v>3304.9999999999964</v>
      </c>
      <c r="H17" s="27">
        <f t="shared" si="1"/>
        <v>18514.999999999996</v>
      </c>
      <c r="I17" s="26">
        <f>14000</f>
        <v>14000</v>
      </c>
      <c r="J17" s="28" t="s">
        <v>776</v>
      </c>
      <c r="K17" s="89" t="s">
        <v>777</v>
      </c>
      <c r="L17" s="29" t="s">
        <v>707</v>
      </c>
      <c r="M17" s="27">
        <f t="shared" si="0"/>
        <v>4514.9999999999964</v>
      </c>
      <c r="N17" s="31" t="s">
        <v>238</v>
      </c>
      <c r="O17" s="31" t="s">
        <v>784</v>
      </c>
    </row>
    <row r="18" spans="1:15">
      <c r="A18" s="19" t="s">
        <v>44</v>
      </c>
      <c r="B18" s="19" t="s">
        <v>60</v>
      </c>
      <c r="C18" s="24" t="s">
        <v>473</v>
      </c>
      <c r="D18" s="34"/>
      <c r="E18" s="26">
        <v>10100</v>
      </c>
      <c r="F18" s="26">
        <v>765</v>
      </c>
      <c r="G18" s="27">
        <f>AUGUST!M18</f>
        <v>660.00000000000182</v>
      </c>
      <c r="H18" s="27">
        <f t="shared" si="1"/>
        <v>11525.000000000002</v>
      </c>
      <c r="I18" s="26">
        <f>10765</f>
        <v>10765</v>
      </c>
      <c r="J18" s="28" t="s">
        <v>737</v>
      </c>
      <c r="K18" s="89">
        <v>46269</v>
      </c>
      <c r="L18" s="29" t="s">
        <v>707</v>
      </c>
      <c r="M18" s="27">
        <f t="shared" si="0"/>
        <v>760.00000000000182</v>
      </c>
      <c r="N18" s="31" t="s">
        <v>238</v>
      </c>
      <c r="O18" s="31"/>
    </row>
    <row r="19" spans="1:15">
      <c r="A19" s="32" t="s">
        <v>62</v>
      </c>
      <c r="B19" s="32" t="s">
        <v>63</v>
      </c>
      <c r="C19" s="46" t="s">
        <v>64</v>
      </c>
      <c r="D19" s="33"/>
      <c r="E19" s="26">
        <v>10100</v>
      </c>
      <c r="F19" s="26">
        <v>120</v>
      </c>
      <c r="G19" s="27">
        <f>AUGUST!M19</f>
        <v>105</v>
      </c>
      <c r="H19" s="27">
        <f t="shared" si="1"/>
        <v>10325</v>
      </c>
      <c r="I19" s="47">
        <f>10220</f>
        <v>10220</v>
      </c>
      <c r="J19" s="28" t="s">
        <v>731</v>
      </c>
      <c r="K19" s="89">
        <v>46266</v>
      </c>
      <c r="L19" s="29" t="s">
        <v>707</v>
      </c>
      <c r="M19" s="27">
        <f t="shared" si="0"/>
        <v>105</v>
      </c>
      <c r="N19" s="31" t="s">
        <v>238</v>
      </c>
      <c r="O19" s="31"/>
    </row>
    <row r="20" spans="1:15">
      <c r="A20" s="19" t="s">
        <v>65</v>
      </c>
      <c r="B20" s="19" t="s">
        <v>671</v>
      </c>
      <c r="C20" s="24" t="s">
        <v>790</v>
      </c>
      <c r="D20" s="33"/>
      <c r="E20" s="26">
        <v>10100</v>
      </c>
      <c r="F20" s="26">
        <v>135</v>
      </c>
      <c r="G20" s="27">
        <f>AUGUST!M20</f>
        <v>5235</v>
      </c>
      <c r="H20" s="27">
        <f t="shared" si="1"/>
        <v>15470</v>
      </c>
      <c r="I20" s="26">
        <f>10100</f>
        <v>10100</v>
      </c>
      <c r="J20" s="48" t="s">
        <v>764</v>
      </c>
      <c r="K20" s="89" t="s">
        <v>757</v>
      </c>
      <c r="L20" s="29" t="s">
        <v>707</v>
      </c>
      <c r="M20" s="27">
        <f t="shared" si="0"/>
        <v>5370</v>
      </c>
      <c r="N20" s="31" t="s">
        <v>238</v>
      </c>
      <c r="O20" s="31" t="s">
        <v>785</v>
      </c>
    </row>
    <row r="21" spans="1:15">
      <c r="A21" s="19" t="s">
        <v>68</v>
      </c>
      <c r="B21" s="19" t="s">
        <v>302</v>
      </c>
      <c r="C21" s="24" t="s">
        <v>474</v>
      </c>
      <c r="D21" s="34"/>
      <c r="E21" s="26">
        <v>10100</v>
      </c>
      <c r="F21" s="26">
        <v>420</v>
      </c>
      <c r="G21" s="27">
        <f>AUGUST!M21</f>
        <v>385</v>
      </c>
      <c r="H21" s="27">
        <f t="shared" si="1"/>
        <v>10905</v>
      </c>
      <c r="I21" s="26">
        <f>10500</f>
        <v>10500</v>
      </c>
      <c r="J21" s="28" t="s">
        <v>739</v>
      </c>
      <c r="K21" s="89">
        <v>46268</v>
      </c>
      <c r="L21" s="29" t="s">
        <v>707</v>
      </c>
      <c r="M21" s="27">
        <f t="shared" si="0"/>
        <v>405</v>
      </c>
      <c r="N21" s="31" t="s">
        <v>238</v>
      </c>
      <c r="O21" s="31"/>
    </row>
    <row r="22" spans="1:15">
      <c r="A22" s="19" t="s">
        <v>71</v>
      </c>
      <c r="B22" s="19" t="s">
        <v>604</v>
      </c>
      <c r="C22" s="24" t="s">
        <v>605</v>
      </c>
      <c r="D22" s="34"/>
      <c r="E22" s="26">
        <v>10100</v>
      </c>
      <c r="F22" s="26">
        <v>900</v>
      </c>
      <c r="G22" s="27">
        <f>AUGUST!M22</f>
        <v>-9445</v>
      </c>
      <c r="H22" s="27">
        <f t="shared" si="1"/>
        <v>1555</v>
      </c>
      <c r="I22" s="26">
        <f>11000</f>
        <v>11000</v>
      </c>
      <c r="J22" s="28" t="s">
        <v>745</v>
      </c>
      <c r="K22" s="89">
        <v>46270</v>
      </c>
      <c r="L22" s="29" t="s">
        <v>707</v>
      </c>
      <c r="M22" s="27">
        <f t="shared" si="0"/>
        <v>-9445</v>
      </c>
      <c r="N22" s="31" t="s">
        <v>238</v>
      </c>
      <c r="O22" s="31"/>
    </row>
    <row r="23" spans="1:15">
      <c r="A23" s="19" t="s">
        <v>74</v>
      </c>
      <c r="B23" s="32" t="s">
        <v>233</v>
      </c>
      <c r="C23" s="24" t="s">
        <v>476</v>
      </c>
      <c r="D23" s="34"/>
      <c r="E23" s="26">
        <v>10100</v>
      </c>
      <c r="F23" s="26">
        <v>780</v>
      </c>
      <c r="G23" s="27">
        <f>AUGUST!M23</f>
        <v>-10985</v>
      </c>
      <c r="H23" s="27">
        <f t="shared" si="1"/>
        <v>-105</v>
      </c>
      <c r="I23" s="26"/>
      <c r="J23" s="37"/>
      <c r="K23" s="90"/>
      <c r="L23" s="29" t="s">
        <v>707</v>
      </c>
      <c r="M23" s="27">
        <f t="shared" si="0"/>
        <v>-105</v>
      </c>
      <c r="N23" s="31" t="s">
        <v>238</v>
      </c>
      <c r="O23" s="31" t="s">
        <v>788</v>
      </c>
    </row>
    <row r="24" spans="1:15">
      <c r="A24" s="19" t="s">
        <v>77</v>
      </c>
      <c r="B24" s="19" t="s">
        <v>78</v>
      </c>
      <c r="C24" s="24" t="s">
        <v>299</v>
      </c>
      <c r="D24" s="34"/>
      <c r="E24" s="26">
        <v>10100</v>
      </c>
      <c r="F24" s="26">
        <v>555</v>
      </c>
      <c r="G24" s="27">
        <f>AUGUST!M24</f>
        <v>-105.00000000000182</v>
      </c>
      <c r="H24" s="27">
        <f t="shared" si="1"/>
        <v>10549.999999999998</v>
      </c>
      <c r="I24" s="26">
        <f>10655</f>
        <v>10655</v>
      </c>
      <c r="J24" s="28" t="s">
        <v>747</v>
      </c>
      <c r="K24" s="89">
        <v>46270</v>
      </c>
      <c r="L24" s="29" t="s">
        <v>707</v>
      </c>
      <c r="M24" s="27">
        <f t="shared" si="0"/>
        <v>-105.00000000000182</v>
      </c>
      <c r="N24" s="31" t="s">
        <v>238</v>
      </c>
      <c r="O24" s="31"/>
    </row>
    <row r="25" spans="1:15">
      <c r="A25" s="19" t="s">
        <v>80</v>
      </c>
      <c r="B25" s="19" t="s">
        <v>81</v>
      </c>
      <c r="C25" s="46" t="s">
        <v>82</v>
      </c>
      <c r="D25" s="33"/>
      <c r="E25" s="26">
        <v>10100</v>
      </c>
      <c r="F25" s="26">
        <v>495</v>
      </c>
      <c r="G25" s="27">
        <f>AUGUST!M25</f>
        <v>869</v>
      </c>
      <c r="H25" s="27">
        <f t="shared" si="1"/>
        <v>11464</v>
      </c>
      <c r="I25" s="26">
        <f>10495</f>
        <v>10495</v>
      </c>
      <c r="J25" s="28" t="s">
        <v>753</v>
      </c>
      <c r="K25" s="89">
        <v>46271</v>
      </c>
      <c r="L25" s="29" t="s">
        <v>707</v>
      </c>
      <c r="M25" s="27">
        <f t="shared" si="0"/>
        <v>969</v>
      </c>
      <c r="N25" s="31" t="s">
        <v>238</v>
      </c>
      <c r="O25" s="31" t="s">
        <v>791</v>
      </c>
    </row>
    <row r="26" spans="1:15">
      <c r="A26" s="19" t="s">
        <v>83</v>
      </c>
      <c r="B26" s="19" t="s">
        <v>84</v>
      </c>
      <c r="C26" s="24" t="s">
        <v>85</v>
      </c>
      <c r="D26" s="33"/>
      <c r="E26" s="26">
        <v>10100</v>
      </c>
      <c r="F26" s="26">
        <v>150</v>
      </c>
      <c r="G26" s="27">
        <f>AUGUST!M26</f>
        <v>0</v>
      </c>
      <c r="H26" s="27">
        <f t="shared" si="1"/>
        <v>10250</v>
      </c>
      <c r="I26" s="26">
        <f>10250</f>
        <v>10250</v>
      </c>
      <c r="J26" s="28" t="s">
        <v>742</v>
      </c>
      <c r="K26" s="89">
        <v>46272</v>
      </c>
      <c r="L26" s="29" t="s">
        <v>707</v>
      </c>
      <c r="M26" s="27">
        <f t="shared" si="0"/>
        <v>0</v>
      </c>
      <c r="N26" s="31" t="s">
        <v>238</v>
      </c>
      <c r="O26" s="31"/>
    </row>
    <row r="27" spans="1:15">
      <c r="A27" s="19" t="s">
        <v>86</v>
      </c>
      <c r="B27" s="19" t="s">
        <v>87</v>
      </c>
      <c r="C27" s="24" t="s">
        <v>88</v>
      </c>
      <c r="D27" s="33"/>
      <c r="E27" s="26">
        <v>10100</v>
      </c>
      <c r="F27" s="26">
        <v>510</v>
      </c>
      <c r="G27" s="27">
        <f>AUGUST!M27</f>
        <v>-680.00000000000182</v>
      </c>
      <c r="H27" s="27">
        <f t="shared" si="1"/>
        <v>9929.9999999999982</v>
      </c>
      <c r="I27" s="26">
        <f>10610</f>
        <v>10610</v>
      </c>
      <c r="J27" s="28" t="s">
        <v>749</v>
      </c>
      <c r="K27" s="89">
        <v>46271</v>
      </c>
      <c r="L27" s="29" t="s">
        <v>707</v>
      </c>
      <c r="M27" s="27">
        <f t="shared" si="0"/>
        <v>-680.00000000000182</v>
      </c>
      <c r="N27" s="31" t="s">
        <v>238</v>
      </c>
      <c r="O27" s="31"/>
    </row>
    <row r="28" spans="1:15">
      <c r="A28" s="19" t="s">
        <v>89</v>
      </c>
      <c r="B28" s="19" t="s">
        <v>90</v>
      </c>
      <c r="C28" s="24" t="s">
        <v>91</v>
      </c>
      <c r="D28" s="33"/>
      <c r="E28" s="26">
        <v>10100</v>
      </c>
      <c r="F28" s="26">
        <v>630</v>
      </c>
      <c r="G28" s="27">
        <f>AUGUST!M28</f>
        <v>1930.0000000000014</v>
      </c>
      <c r="H28" s="27">
        <f t="shared" si="1"/>
        <v>12660.000000000002</v>
      </c>
      <c r="I28" s="26">
        <f>10530</f>
        <v>10530</v>
      </c>
      <c r="J28" s="28" t="s">
        <v>771</v>
      </c>
      <c r="K28" s="89" t="s">
        <v>772</v>
      </c>
      <c r="L28" s="29" t="s">
        <v>707</v>
      </c>
      <c r="M28" s="27">
        <f t="shared" si="0"/>
        <v>2130.0000000000018</v>
      </c>
      <c r="N28" s="31" t="s">
        <v>238</v>
      </c>
      <c r="O28" s="31" t="s">
        <v>636</v>
      </c>
    </row>
    <row r="29" spans="1:15">
      <c r="A29" s="19" t="s">
        <v>92</v>
      </c>
      <c r="B29" s="19" t="s">
        <v>228</v>
      </c>
      <c r="C29" s="24"/>
      <c r="D29" s="33"/>
      <c r="E29" s="26"/>
      <c r="F29" s="26">
        <v>0</v>
      </c>
      <c r="G29" s="27">
        <f>AUGUST!M29</f>
        <v>0</v>
      </c>
      <c r="H29" s="27">
        <f t="shared" si="1"/>
        <v>0</v>
      </c>
      <c r="I29" s="26"/>
      <c r="J29" s="28"/>
      <c r="K29" s="28"/>
      <c r="L29" s="29" t="s">
        <v>707</v>
      </c>
      <c r="M29" s="27">
        <f t="shared" si="0"/>
        <v>0</v>
      </c>
      <c r="N29" s="31" t="s">
        <v>238</v>
      </c>
      <c r="O29" s="31"/>
    </row>
    <row r="30" spans="1:15">
      <c r="A30" s="19" t="s">
        <v>95</v>
      </c>
      <c r="B30" s="19" t="s">
        <v>93</v>
      </c>
      <c r="C30" s="24" t="s">
        <v>94</v>
      </c>
      <c r="D30" s="33"/>
      <c r="E30" s="26">
        <v>10100</v>
      </c>
      <c r="F30" s="26">
        <v>255</v>
      </c>
      <c r="G30" s="27">
        <f>AUGUST!M30</f>
        <v>154.99999999999773</v>
      </c>
      <c r="H30" s="27">
        <f t="shared" si="1"/>
        <v>10509.999999999998</v>
      </c>
      <c r="I30" s="26">
        <f>10300</f>
        <v>10300</v>
      </c>
      <c r="J30" s="37" t="s">
        <v>751</v>
      </c>
      <c r="K30" s="90">
        <v>46271</v>
      </c>
      <c r="L30" s="29" t="s">
        <v>707</v>
      </c>
      <c r="M30" s="27">
        <f t="shared" si="0"/>
        <v>209.99999999999818</v>
      </c>
      <c r="N30" s="31" t="s">
        <v>238</v>
      </c>
      <c r="O30" s="31"/>
    </row>
    <row r="31" spans="1:15">
      <c r="A31" s="19" t="s">
        <v>98</v>
      </c>
      <c r="B31" s="19" t="s">
        <v>96</v>
      </c>
      <c r="C31" s="24" t="s">
        <v>97</v>
      </c>
      <c r="D31" s="33"/>
      <c r="E31" s="26">
        <v>10100</v>
      </c>
      <c r="F31" s="26">
        <v>30</v>
      </c>
      <c r="G31" s="27">
        <f>AUGUST!M31</f>
        <v>-8</v>
      </c>
      <c r="H31" s="27">
        <f t="shared" si="1"/>
        <v>10122</v>
      </c>
      <c r="I31" s="26">
        <f>10100</f>
        <v>10100</v>
      </c>
      <c r="J31" s="28" t="s">
        <v>778</v>
      </c>
      <c r="K31" s="89" t="s">
        <v>779</v>
      </c>
      <c r="L31" s="29" t="s">
        <v>707</v>
      </c>
      <c r="M31" s="27">
        <f t="shared" si="0"/>
        <v>22</v>
      </c>
      <c r="N31" s="31" t="s">
        <v>238</v>
      </c>
      <c r="O31" s="31"/>
    </row>
    <row r="32" spans="1:15">
      <c r="A32" s="19" t="s">
        <v>99</v>
      </c>
      <c r="B32" s="32" t="s">
        <v>192</v>
      </c>
      <c r="C32" s="36" t="s">
        <v>193</v>
      </c>
      <c r="D32" s="33"/>
      <c r="E32" s="26">
        <v>10100</v>
      </c>
      <c r="F32" s="26">
        <v>1110</v>
      </c>
      <c r="G32" s="27">
        <f>AUGUST!M32</f>
        <v>3539.9999999999982</v>
      </c>
      <c r="H32" s="27">
        <f t="shared" si="1"/>
        <v>14749.999999999998</v>
      </c>
      <c r="I32" s="26">
        <f>10610</f>
        <v>10610</v>
      </c>
      <c r="J32" s="48" t="s">
        <v>769</v>
      </c>
      <c r="K32" s="89" t="s">
        <v>770</v>
      </c>
      <c r="L32" s="29" t="s">
        <v>707</v>
      </c>
      <c r="M32" s="27">
        <f t="shared" si="0"/>
        <v>4139.9999999999982</v>
      </c>
      <c r="N32" s="31" t="s">
        <v>238</v>
      </c>
      <c r="O32" s="31"/>
    </row>
    <row r="33" spans="1:15">
      <c r="A33" s="19" t="s">
        <v>102</v>
      </c>
      <c r="B33" s="19" t="s">
        <v>488</v>
      </c>
      <c r="C33" s="24" t="s">
        <v>101</v>
      </c>
      <c r="D33" s="33"/>
      <c r="E33" s="26">
        <v>10100</v>
      </c>
      <c r="F33" s="26">
        <v>195</v>
      </c>
      <c r="G33" s="27">
        <f>AUGUST!M33</f>
        <v>-154.99999999999818</v>
      </c>
      <c r="H33" s="27">
        <f t="shared" si="1"/>
        <v>10140.000000000002</v>
      </c>
      <c r="I33" s="26">
        <f>10295</f>
        <v>10295</v>
      </c>
      <c r="J33" s="28" t="s">
        <v>735</v>
      </c>
      <c r="K33" s="89">
        <v>46268</v>
      </c>
      <c r="L33" s="29" t="s">
        <v>707</v>
      </c>
      <c r="M33" s="27">
        <f t="shared" si="0"/>
        <v>-154.99999999999818</v>
      </c>
      <c r="N33" s="31" t="s">
        <v>238</v>
      </c>
      <c r="O33" s="31"/>
    </row>
    <row r="34" spans="1:15">
      <c r="A34" s="19" t="s">
        <v>105</v>
      </c>
      <c r="B34" s="19" t="s">
        <v>103</v>
      </c>
      <c r="C34" s="24" t="s">
        <v>104</v>
      </c>
      <c r="D34" s="33"/>
      <c r="E34" s="26">
        <v>10100</v>
      </c>
      <c r="F34" s="26">
        <v>180</v>
      </c>
      <c r="G34" s="27">
        <f>AUGUST!M34</f>
        <v>-10609.999999999998</v>
      </c>
      <c r="H34" s="27">
        <f t="shared" si="1"/>
        <v>-329.99999999999818</v>
      </c>
      <c r="I34" s="26">
        <f>10280</f>
        <v>10280</v>
      </c>
      <c r="J34" s="28" t="s">
        <v>728</v>
      </c>
      <c r="K34" s="89">
        <v>46267</v>
      </c>
      <c r="L34" s="29" t="s">
        <v>707</v>
      </c>
      <c r="M34" s="27">
        <f t="shared" si="0"/>
        <v>-10609.999999999998</v>
      </c>
      <c r="N34" s="31" t="s">
        <v>238</v>
      </c>
      <c r="O34" s="31"/>
    </row>
    <row r="35" spans="1:15">
      <c r="A35" s="19" t="s">
        <v>108</v>
      </c>
      <c r="B35" s="19" t="s">
        <v>106</v>
      </c>
      <c r="C35" s="24" t="s">
        <v>107</v>
      </c>
      <c r="D35" s="33"/>
      <c r="E35" s="26">
        <v>10100</v>
      </c>
      <c r="F35" s="26">
        <v>135</v>
      </c>
      <c r="G35" s="27">
        <f>AUGUST!M35</f>
        <v>-330.00000000000182</v>
      </c>
      <c r="H35" s="27">
        <f t="shared" si="1"/>
        <v>9904.9999999999982</v>
      </c>
      <c r="I35" s="26">
        <f>10235</f>
        <v>10235</v>
      </c>
      <c r="J35" s="28" t="s">
        <v>741</v>
      </c>
      <c r="K35" s="89">
        <v>46270</v>
      </c>
      <c r="L35" s="29" t="s">
        <v>707</v>
      </c>
      <c r="M35" s="27">
        <f t="shared" si="0"/>
        <v>-330.00000000000182</v>
      </c>
      <c r="N35" s="31" t="s">
        <v>238</v>
      </c>
      <c r="O35" s="31"/>
    </row>
    <row r="36" spans="1:15">
      <c r="A36" s="19" t="s">
        <v>111</v>
      </c>
      <c r="B36" s="19" t="s">
        <v>109</v>
      </c>
      <c r="C36" s="24" t="s">
        <v>110</v>
      </c>
      <c r="D36" s="33"/>
      <c r="E36" s="26">
        <v>10100</v>
      </c>
      <c r="F36" s="26">
        <v>45</v>
      </c>
      <c r="G36" s="27">
        <f>AUGUST!M36</f>
        <v>-10094.999999999996</v>
      </c>
      <c r="H36" s="27">
        <f t="shared" si="1"/>
        <v>50.000000000003638</v>
      </c>
      <c r="I36" s="26"/>
      <c r="J36" s="28"/>
      <c r="K36" s="89"/>
      <c r="L36" s="29" t="s">
        <v>707</v>
      </c>
      <c r="M36" s="27">
        <f>H36-I36</f>
        <v>50.000000000003638</v>
      </c>
      <c r="N36" s="31" t="s">
        <v>238</v>
      </c>
      <c r="O36" s="31"/>
    </row>
    <row r="37" spans="1:15">
      <c r="A37" s="19" t="s">
        <v>114</v>
      </c>
      <c r="B37" s="19" t="s">
        <v>112</v>
      </c>
      <c r="C37" s="24" t="s">
        <v>113</v>
      </c>
      <c r="D37" s="33"/>
      <c r="E37" s="26">
        <v>10100</v>
      </c>
      <c r="F37" s="26">
        <v>255</v>
      </c>
      <c r="G37" s="27">
        <f>AUGUST!M37</f>
        <v>35</v>
      </c>
      <c r="H37" s="27">
        <f t="shared" si="1"/>
        <v>10390</v>
      </c>
      <c r="I37" s="91">
        <f>10355</f>
        <v>10355</v>
      </c>
      <c r="J37" s="91" t="s">
        <v>748</v>
      </c>
      <c r="K37" s="89">
        <v>46271</v>
      </c>
      <c r="L37" s="29" t="s">
        <v>707</v>
      </c>
      <c r="M37" s="27">
        <f>H37-I37</f>
        <v>35</v>
      </c>
      <c r="N37" s="31" t="s">
        <v>238</v>
      </c>
      <c r="O37" s="31"/>
    </row>
    <row r="38" spans="1:15">
      <c r="A38" s="19" t="s">
        <v>117</v>
      </c>
      <c r="B38" s="19" t="s">
        <v>115</v>
      </c>
      <c r="C38" s="24" t="s">
        <v>116</v>
      </c>
      <c r="D38" s="33"/>
      <c r="E38" s="26">
        <v>10100</v>
      </c>
      <c r="F38" s="26">
        <v>300</v>
      </c>
      <c r="G38" s="27">
        <f>AUGUST!M38</f>
        <v>120</v>
      </c>
      <c r="H38" s="27">
        <f t="shared" si="1"/>
        <v>10520</v>
      </c>
      <c r="I38" s="26">
        <f>10400</f>
        <v>10400</v>
      </c>
      <c r="J38" s="28" t="s">
        <v>782</v>
      </c>
      <c r="K38" s="28" t="s">
        <v>774</v>
      </c>
      <c r="L38" s="29" t="s">
        <v>707</v>
      </c>
      <c r="M38" s="27">
        <f t="shared" ref="M38:M55" si="2">H38-I38</f>
        <v>120</v>
      </c>
      <c r="N38" s="31" t="s">
        <v>238</v>
      </c>
      <c r="O38" s="31"/>
    </row>
    <row r="39" spans="1:15">
      <c r="A39" s="19" t="s">
        <v>120</v>
      </c>
      <c r="B39" s="19" t="s">
        <v>797</v>
      </c>
      <c r="C39" s="24" t="s">
        <v>119</v>
      </c>
      <c r="D39" s="33"/>
      <c r="E39" s="26">
        <v>10100</v>
      </c>
      <c r="F39" s="26">
        <v>180</v>
      </c>
      <c r="G39" s="27">
        <f>AUGUST!M39</f>
        <v>0</v>
      </c>
      <c r="H39" s="27">
        <f t="shared" si="1"/>
        <v>10280</v>
      </c>
      <c r="I39" s="26">
        <f>10280</f>
        <v>10280</v>
      </c>
      <c r="J39" s="28" t="s">
        <v>746</v>
      </c>
      <c r="K39" s="89">
        <v>46270</v>
      </c>
      <c r="L39" s="29" t="s">
        <v>707</v>
      </c>
      <c r="M39" s="27">
        <f t="shared" si="2"/>
        <v>0</v>
      </c>
      <c r="N39" s="31" t="s">
        <v>238</v>
      </c>
      <c r="O39" s="31"/>
    </row>
    <row r="40" spans="1:15">
      <c r="A40" s="19" t="s">
        <v>122</v>
      </c>
      <c r="B40" s="19" t="s">
        <v>174</v>
      </c>
      <c r="C40" s="24" t="s">
        <v>493</v>
      </c>
      <c r="D40" s="33"/>
      <c r="E40" s="26">
        <v>10100</v>
      </c>
      <c r="F40" s="26">
        <v>195</v>
      </c>
      <c r="G40" s="27">
        <f>AUGUST!M40</f>
        <v>-10550</v>
      </c>
      <c r="H40" s="27">
        <f t="shared" si="1"/>
        <v>-255</v>
      </c>
      <c r="I40" s="26">
        <f>10100+195</f>
        <v>10295</v>
      </c>
      <c r="J40" s="28" t="s">
        <v>799</v>
      </c>
      <c r="K40" s="89" t="s">
        <v>798</v>
      </c>
      <c r="L40" s="29" t="s">
        <v>707</v>
      </c>
      <c r="M40" s="27">
        <f t="shared" si="2"/>
        <v>-10550</v>
      </c>
      <c r="N40" s="31" t="s">
        <v>238</v>
      </c>
      <c r="O40" s="31"/>
    </row>
    <row r="41" spans="1:15">
      <c r="A41" s="19" t="s">
        <v>123</v>
      </c>
      <c r="B41" s="19" t="s">
        <v>563</v>
      </c>
      <c r="C41" s="24" t="s">
        <v>564</v>
      </c>
      <c r="D41" s="33"/>
      <c r="E41" s="26">
        <v>10100</v>
      </c>
      <c r="F41" s="26">
        <v>15</v>
      </c>
      <c r="G41" s="27">
        <f>AUGUST!M41</f>
        <v>6480.0000000000036</v>
      </c>
      <c r="H41" s="27">
        <f t="shared" si="1"/>
        <v>16595.000000000004</v>
      </c>
      <c r="I41" s="26">
        <f>4000+5000+1000+2000</f>
        <v>12000</v>
      </c>
      <c r="J41" s="28" t="s">
        <v>767</v>
      </c>
      <c r="K41" s="89" t="s">
        <v>768</v>
      </c>
      <c r="L41" s="29" t="s">
        <v>707</v>
      </c>
      <c r="M41" s="27">
        <f t="shared" si="2"/>
        <v>4595.0000000000036</v>
      </c>
      <c r="N41" s="31" t="s">
        <v>238</v>
      </c>
      <c r="O41" s="31"/>
    </row>
    <row r="42" spans="1:15">
      <c r="A42" s="19" t="s">
        <v>126</v>
      </c>
      <c r="B42" s="19" t="s">
        <v>124</v>
      </c>
      <c r="C42" s="24" t="s">
        <v>125</v>
      </c>
      <c r="D42" s="33"/>
      <c r="E42" s="26">
        <v>10100</v>
      </c>
      <c r="F42" s="26">
        <v>315</v>
      </c>
      <c r="G42" s="27">
        <f>AUGUST!M42</f>
        <v>351</v>
      </c>
      <c r="H42" s="27">
        <f t="shared" si="1"/>
        <v>10766</v>
      </c>
      <c r="I42" s="26">
        <f>10315</f>
        <v>10315</v>
      </c>
      <c r="J42" s="28" t="s">
        <v>734</v>
      </c>
      <c r="K42" s="89">
        <v>46266</v>
      </c>
      <c r="L42" s="29" t="s">
        <v>707</v>
      </c>
      <c r="M42" s="27">
        <f t="shared" si="2"/>
        <v>451</v>
      </c>
      <c r="N42" s="31" t="s">
        <v>238</v>
      </c>
      <c r="O42" s="31"/>
    </row>
    <row r="43" spans="1:15">
      <c r="A43" s="19" t="s">
        <v>127</v>
      </c>
      <c r="B43" s="19" t="s">
        <v>794</v>
      </c>
      <c r="C43" s="24" t="s">
        <v>795</v>
      </c>
      <c r="D43" s="33"/>
      <c r="E43" s="26">
        <v>10100</v>
      </c>
      <c r="F43" s="26">
        <v>180</v>
      </c>
      <c r="G43" s="27">
        <f>AUGUST!M43</f>
        <v>0</v>
      </c>
      <c r="H43" s="27">
        <f t="shared" si="1"/>
        <v>10280</v>
      </c>
      <c r="I43" s="26">
        <f>10280</f>
        <v>10280</v>
      </c>
      <c r="J43" s="28" t="s">
        <v>773</v>
      </c>
      <c r="K43" s="89" t="s">
        <v>774</v>
      </c>
      <c r="L43" s="29" t="s">
        <v>707</v>
      </c>
      <c r="M43" s="27">
        <f t="shared" si="2"/>
        <v>0</v>
      </c>
      <c r="N43" s="31" t="s">
        <v>238</v>
      </c>
      <c r="O43" s="31"/>
    </row>
    <row r="44" spans="1:15">
      <c r="A44" s="19" t="s">
        <v>130</v>
      </c>
      <c r="B44" s="19" t="s">
        <v>128</v>
      </c>
      <c r="C44" s="24" t="s">
        <v>129</v>
      </c>
      <c r="D44" s="33"/>
      <c r="E44" s="26">
        <v>10100</v>
      </c>
      <c r="F44" s="26">
        <v>675</v>
      </c>
      <c r="G44" s="27">
        <f>AUGUST!M44</f>
        <v>1729.0000000000018</v>
      </c>
      <c r="H44" s="27">
        <f t="shared" si="1"/>
        <v>12504.000000000002</v>
      </c>
      <c r="I44" s="26">
        <f>11000</f>
        <v>11000</v>
      </c>
      <c r="J44" s="28" t="s">
        <v>765</v>
      </c>
      <c r="K44" s="89" t="s">
        <v>766</v>
      </c>
      <c r="L44" s="29" t="s">
        <v>707</v>
      </c>
      <c r="M44" s="27">
        <f t="shared" si="2"/>
        <v>1504.0000000000018</v>
      </c>
      <c r="N44" s="31" t="s">
        <v>238</v>
      </c>
      <c r="O44" s="31"/>
    </row>
    <row r="45" spans="1:15">
      <c r="A45" s="19" t="s">
        <v>133</v>
      </c>
      <c r="B45" s="19" t="s">
        <v>300</v>
      </c>
      <c r="C45" s="24" t="s">
        <v>132</v>
      </c>
      <c r="D45" s="33"/>
      <c r="E45" s="26">
        <v>10100</v>
      </c>
      <c r="F45" s="26">
        <v>300</v>
      </c>
      <c r="G45" s="27">
        <f>AUGUST!M45</f>
        <v>-16230</v>
      </c>
      <c r="H45" s="27">
        <f t="shared" si="1"/>
        <v>-5830</v>
      </c>
      <c r="I45" s="26">
        <f>10300</f>
        <v>10300</v>
      </c>
      <c r="J45" s="28" t="s">
        <v>756</v>
      </c>
      <c r="K45" s="89" t="s">
        <v>757</v>
      </c>
      <c r="L45" s="29" t="s">
        <v>707</v>
      </c>
      <c r="M45" s="27">
        <f t="shared" si="2"/>
        <v>-16130</v>
      </c>
      <c r="N45" s="31" t="s">
        <v>238</v>
      </c>
      <c r="O45" s="31"/>
    </row>
    <row r="46" spans="1:15">
      <c r="A46" s="19" t="s">
        <v>136</v>
      </c>
      <c r="B46" s="19" t="s">
        <v>134</v>
      </c>
      <c r="C46" s="24" t="s">
        <v>135</v>
      </c>
      <c r="D46" s="33"/>
      <c r="E46" s="26">
        <v>10100</v>
      </c>
      <c r="F46" s="26">
        <v>810</v>
      </c>
      <c r="G46" s="27">
        <f>AUGUST!M46</f>
        <v>-111</v>
      </c>
      <c r="H46" s="27">
        <f t="shared" si="1"/>
        <v>10799</v>
      </c>
      <c r="I46" s="26">
        <f>10910</f>
        <v>10910</v>
      </c>
      <c r="J46" s="28" t="s">
        <v>744</v>
      </c>
      <c r="K46" s="89">
        <v>46270</v>
      </c>
      <c r="L46" s="29" t="s">
        <v>707</v>
      </c>
      <c r="M46" s="27">
        <f t="shared" si="2"/>
        <v>-111</v>
      </c>
      <c r="N46" s="31" t="s">
        <v>238</v>
      </c>
      <c r="O46" s="31"/>
    </row>
    <row r="47" spans="1:15">
      <c r="A47" s="19" t="s">
        <v>139</v>
      </c>
      <c r="B47" s="19" t="s">
        <v>137</v>
      </c>
      <c r="C47" s="24" t="s">
        <v>138</v>
      </c>
      <c r="D47" s="33"/>
      <c r="E47" s="26">
        <v>10100</v>
      </c>
      <c r="F47" s="26">
        <v>180</v>
      </c>
      <c r="G47" s="27">
        <f>AUGUST!M47</f>
        <v>90</v>
      </c>
      <c r="H47" s="27">
        <f t="shared" si="1"/>
        <v>10370</v>
      </c>
      <c r="I47" s="26">
        <f>10280</f>
        <v>10280</v>
      </c>
      <c r="J47" s="28" t="s">
        <v>754</v>
      </c>
      <c r="K47" s="89">
        <v>46274</v>
      </c>
      <c r="L47" s="29" t="s">
        <v>707</v>
      </c>
      <c r="M47" s="27">
        <f t="shared" si="2"/>
        <v>90</v>
      </c>
      <c r="N47" s="31" t="s">
        <v>238</v>
      </c>
      <c r="O47" s="31"/>
    </row>
    <row r="48" spans="1:15">
      <c r="A48" s="19" t="s">
        <v>142</v>
      </c>
      <c r="B48" s="19" t="s">
        <v>140</v>
      </c>
      <c r="C48" s="24" t="s">
        <v>293</v>
      </c>
      <c r="D48" s="33"/>
      <c r="E48" s="26">
        <v>10100</v>
      </c>
      <c r="F48" s="26">
        <v>135</v>
      </c>
      <c r="G48" s="27">
        <f>AUGUST!M48</f>
        <v>100</v>
      </c>
      <c r="H48" s="27">
        <f t="shared" si="1"/>
        <v>10335</v>
      </c>
      <c r="I48" s="26">
        <f>10235</f>
        <v>10235</v>
      </c>
      <c r="J48" s="28" t="s">
        <v>775</v>
      </c>
      <c r="K48" s="89" t="s">
        <v>774</v>
      </c>
      <c r="L48" s="29" t="s">
        <v>707</v>
      </c>
      <c r="M48" s="27">
        <f t="shared" si="2"/>
        <v>100</v>
      </c>
      <c r="N48" s="31" t="s">
        <v>238</v>
      </c>
      <c r="O48" s="31"/>
    </row>
    <row r="49" spans="1:15">
      <c r="A49" s="19" t="s">
        <v>145</v>
      </c>
      <c r="B49" s="19" t="s">
        <v>143</v>
      </c>
      <c r="C49" s="24" t="s">
        <v>144</v>
      </c>
      <c r="D49" s="33"/>
      <c r="E49" s="26">
        <v>10100</v>
      </c>
      <c r="F49" s="26">
        <v>330</v>
      </c>
      <c r="G49" s="27">
        <f>AUGUST!M49</f>
        <v>174.99999999999818</v>
      </c>
      <c r="H49" s="27">
        <f t="shared" si="1"/>
        <v>10604.999999999998</v>
      </c>
      <c r="I49" s="26">
        <f>10430</f>
        <v>10430</v>
      </c>
      <c r="J49" s="28" t="s">
        <v>762</v>
      </c>
      <c r="K49" s="89" t="s">
        <v>763</v>
      </c>
      <c r="L49" s="29" t="s">
        <v>707</v>
      </c>
      <c r="M49" s="27">
        <f t="shared" si="2"/>
        <v>174.99999999999818</v>
      </c>
      <c r="N49" s="31" t="s">
        <v>238</v>
      </c>
      <c r="O49" s="31"/>
    </row>
    <row r="50" spans="1:15">
      <c r="A50" s="19" t="s">
        <v>148</v>
      </c>
      <c r="B50" s="19" t="s">
        <v>146</v>
      </c>
      <c r="C50" s="24" t="s">
        <v>147</v>
      </c>
      <c r="D50" s="33"/>
      <c r="E50" s="26">
        <v>10100</v>
      </c>
      <c r="F50" s="26">
        <v>15</v>
      </c>
      <c r="G50" s="27">
        <f>AUGUST!M50</f>
        <v>-10</v>
      </c>
      <c r="H50" s="27">
        <f t="shared" si="1"/>
        <v>10105</v>
      </c>
      <c r="I50" s="26">
        <f>10115</f>
        <v>10115</v>
      </c>
      <c r="J50" s="28" t="s">
        <v>759</v>
      </c>
      <c r="K50" s="89" t="s">
        <v>757</v>
      </c>
      <c r="L50" s="29" t="s">
        <v>707</v>
      </c>
      <c r="M50" s="27">
        <f t="shared" si="2"/>
        <v>-10</v>
      </c>
      <c r="N50" s="31" t="s">
        <v>238</v>
      </c>
      <c r="O50" s="31"/>
    </row>
    <row r="51" spans="1:15">
      <c r="A51" s="19" t="s">
        <v>156</v>
      </c>
      <c r="B51" s="19" t="s">
        <v>159</v>
      </c>
      <c r="C51" s="24" t="s">
        <v>285</v>
      </c>
      <c r="D51" s="33"/>
      <c r="E51" s="26">
        <v>10100</v>
      </c>
      <c r="F51" s="26">
        <v>120</v>
      </c>
      <c r="G51" s="27">
        <f>AUGUST!M51</f>
        <v>-39.999999999999147</v>
      </c>
      <c r="H51" s="27">
        <f t="shared" si="1"/>
        <v>10180</v>
      </c>
      <c r="I51" s="26">
        <f>10220</f>
        <v>10220</v>
      </c>
      <c r="J51" s="28" t="s">
        <v>743</v>
      </c>
      <c r="K51" s="89">
        <v>46267</v>
      </c>
      <c r="L51" s="29" t="s">
        <v>707</v>
      </c>
      <c r="M51" s="27">
        <f t="shared" si="2"/>
        <v>-40</v>
      </c>
      <c r="N51" s="31" t="s">
        <v>238</v>
      </c>
      <c r="O51" s="31"/>
    </row>
    <row r="52" spans="1:15">
      <c r="A52" s="19" t="s">
        <v>157</v>
      </c>
      <c r="B52" s="19" t="s">
        <v>149</v>
      </c>
      <c r="C52" s="24" t="s">
        <v>150</v>
      </c>
      <c r="D52" s="33"/>
      <c r="E52" s="26">
        <v>10100</v>
      </c>
      <c r="F52" s="26">
        <v>315</v>
      </c>
      <c r="G52" s="27">
        <f>AUGUST!M52</f>
        <v>-25555</v>
      </c>
      <c r="H52" s="27">
        <f t="shared" si="1"/>
        <v>-15140</v>
      </c>
      <c r="I52" s="26">
        <f>10520</f>
        <v>10520</v>
      </c>
      <c r="J52" s="28" t="s">
        <v>760</v>
      </c>
      <c r="K52" s="89" t="s">
        <v>761</v>
      </c>
      <c r="L52" s="29" t="s">
        <v>707</v>
      </c>
      <c r="M52" s="27">
        <f t="shared" si="2"/>
        <v>-25660</v>
      </c>
      <c r="N52" s="31" t="s">
        <v>238</v>
      </c>
      <c r="O52" s="31"/>
    </row>
    <row r="53" spans="1:15">
      <c r="A53" s="19" t="s">
        <v>158</v>
      </c>
      <c r="B53" s="79" t="s">
        <v>160</v>
      </c>
      <c r="C53" s="88" t="s">
        <v>311</v>
      </c>
      <c r="D53" s="33"/>
      <c r="E53" s="26">
        <v>10100</v>
      </c>
      <c r="F53" s="26">
        <v>540</v>
      </c>
      <c r="G53" s="27">
        <f>AUGUST!M53</f>
        <v>445.00000000000011</v>
      </c>
      <c r="H53" s="27">
        <f t="shared" si="1"/>
        <v>11085</v>
      </c>
      <c r="I53" s="26">
        <f>10640</f>
        <v>10640</v>
      </c>
      <c r="J53" s="28" t="s">
        <v>732</v>
      </c>
      <c r="K53" s="89">
        <v>46266</v>
      </c>
      <c r="L53" s="29" t="s">
        <v>707</v>
      </c>
      <c r="M53" s="27">
        <f t="shared" si="2"/>
        <v>445</v>
      </c>
      <c r="N53" s="31" t="s">
        <v>238</v>
      </c>
      <c r="O53" s="31"/>
    </row>
    <row r="54" spans="1:15">
      <c r="A54" s="19" t="s">
        <v>151</v>
      </c>
      <c r="B54" s="19" t="s">
        <v>152</v>
      </c>
      <c r="C54" s="24" t="s">
        <v>153</v>
      </c>
      <c r="D54" s="33"/>
      <c r="E54" s="26">
        <v>10100</v>
      </c>
      <c r="F54" s="26">
        <v>450</v>
      </c>
      <c r="G54" s="27">
        <f>AUGUST!M54</f>
        <v>-79.999999999998181</v>
      </c>
      <c r="H54" s="27">
        <f t="shared" si="1"/>
        <v>10470.000000000002</v>
      </c>
      <c r="I54" s="26">
        <f>10550</f>
        <v>10550</v>
      </c>
      <c r="J54" s="28" t="s">
        <v>738</v>
      </c>
      <c r="K54" s="89">
        <v>46270</v>
      </c>
      <c r="L54" s="29" t="s">
        <v>707</v>
      </c>
      <c r="M54" s="27">
        <f t="shared" si="2"/>
        <v>-79.999999999998181</v>
      </c>
      <c r="N54" s="31" t="s">
        <v>238</v>
      </c>
      <c r="O54" s="31"/>
    </row>
    <row r="55" spans="1:15">
      <c r="A55" s="19" t="s">
        <v>161</v>
      </c>
      <c r="B55" s="19" t="s">
        <v>610</v>
      </c>
      <c r="C55" s="24" t="s">
        <v>568</v>
      </c>
      <c r="D55" s="33"/>
      <c r="E55" s="26">
        <v>10100</v>
      </c>
      <c r="F55" s="26">
        <v>420</v>
      </c>
      <c r="G55" s="27">
        <f>AUGUST!M55</f>
        <v>100</v>
      </c>
      <c r="H55" s="27">
        <f t="shared" si="1"/>
        <v>10620</v>
      </c>
      <c r="I55" s="26">
        <f>10580</f>
        <v>10580</v>
      </c>
      <c r="J55" s="28" t="s">
        <v>750</v>
      </c>
      <c r="K55" s="89">
        <v>46271</v>
      </c>
      <c r="L55" s="29" t="s">
        <v>707</v>
      </c>
      <c r="M55" s="27">
        <f t="shared" si="2"/>
        <v>40</v>
      </c>
      <c r="N55" s="31" t="s">
        <v>238</v>
      </c>
      <c r="O55" s="31"/>
    </row>
    <row r="56" spans="1:15">
      <c r="A56" s="19" t="s">
        <v>162</v>
      </c>
      <c r="B56" s="19" t="s">
        <v>565</v>
      </c>
      <c r="C56" s="24" t="s">
        <v>566</v>
      </c>
      <c r="D56" s="33"/>
      <c r="E56" s="26">
        <v>10100</v>
      </c>
      <c r="F56" s="26">
        <v>315</v>
      </c>
      <c r="G56" s="27">
        <f>AUGUST!M56</f>
        <v>540</v>
      </c>
      <c r="H56" s="27">
        <f t="shared" si="1"/>
        <v>10955</v>
      </c>
      <c r="I56" s="26">
        <f>10315</f>
        <v>10315</v>
      </c>
      <c r="J56" s="28" t="s">
        <v>740</v>
      </c>
      <c r="K56" s="89">
        <v>46270</v>
      </c>
      <c r="L56" s="29" t="s">
        <v>707</v>
      </c>
      <c r="M56" s="27">
        <f>H56-I56</f>
        <v>640</v>
      </c>
      <c r="N56" s="31" t="s">
        <v>238</v>
      </c>
      <c r="O56" s="31"/>
    </row>
    <row r="57" spans="1:15">
      <c r="A57" s="52" t="s">
        <v>25</v>
      </c>
      <c r="B57" s="19"/>
      <c r="C57" s="53"/>
      <c r="D57" s="54"/>
      <c r="E57" s="54">
        <f>SUM(E9:E56)</f>
        <v>480700</v>
      </c>
      <c r="F57" s="54">
        <f>SUM(F9:F56)</f>
        <v>17550</v>
      </c>
      <c r="G57" s="54">
        <f>SUM(G9:G56)</f>
        <v>-55394</v>
      </c>
      <c r="H57" s="54">
        <f>SUM(H9:H56)</f>
        <v>442856</v>
      </c>
      <c r="I57" s="54">
        <f>SUM(I9:I56)</f>
        <v>489830</v>
      </c>
      <c r="J57" s="54"/>
      <c r="K57" s="54"/>
      <c r="L57" s="54"/>
      <c r="M57" s="54">
        <f>SUM(M9:M56)</f>
        <v>-46974</v>
      </c>
      <c r="N57" s="55"/>
      <c r="O57" s="55"/>
    </row>
    <row r="58" spans="1:15">
      <c r="A58" s="12"/>
      <c r="B58" s="19"/>
      <c r="C58" s="53"/>
      <c r="D58" s="56"/>
      <c r="E58" s="57"/>
      <c r="F58" s="57"/>
      <c r="G58" s="58"/>
      <c r="H58" s="57"/>
      <c r="I58" s="57"/>
      <c r="J58" s="12"/>
      <c r="K58" s="12"/>
      <c r="L58" s="12"/>
      <c r="M58" s="57"/>
      <c r="N58" s="57"/>
      <c r="O58" s="57"/>
    </row>
    <row r="59" spans="1:15">
      <c r="A59" s="59" t="s">
        <v>26</v>
      </c>
      <c r="B59" s="19"/>
      <c r="C59" s="53"/>
      <c r="D59" s="56"/>
      <c r="E59" s="57"/>
      <c r="F59" s="57"/>
      <c r="G59" s="58"/>
      <c r="H59" s="57"/>
      <c r="I59" s="57"/>
      <c r="J59" s="12"/>
      <c r="K59" s="12"/>
      <c r="L59" s="12"/>
      <c r="M59" s="57"/>
      <c r="N59" s="57"/>
      <c r="O59" s="57"/>
    </row>
    <row r="60" spans="1:15">
      <c r="A60" s="19" t="s">
        <v>27</v>
      </c>
      <c r="B60" s="19"/>
      <c r="C60" s="53"/>
      <c r="D60" s="19"/>
      <c r="E60" s="19"/>
      <c r="F60" s="19"/>
      <c r="G60" s="20"/>
      <c r="H60" s="19"/>
      <c r="I60" s="60">
        <f>6%*I57</f>
        <v>29389.8</v>
      </c>
      <c r="J60" s="19"/>
      <c r="K60" s="19"/>
      <c r="L60" s="19"/>
      <c r="M60" s="19"/>
      <c r="N60" s="19"/>
      <c r="O60" s="19"/>
    </row>
    <row r="61" spans="1:15" ht="16.5">
      <c r="A61" s="15" t="s">
        <v>28</v>
      </c>
      <c r="B61" s="15"/>
      <c r="C61" s="15"/>
      <c r="D61" s="15"/>
      <c r="E61" s="15"/>
      <c r="F61" s="15"/>
      <c r="G61" s="61"/>
      <c r="H61" s="15"/>
      <c r="I61" s="62">
        <f>SUM(I60:I60)</f>
        <v>29389.8</v>
      </c>
      <c r="J61" s="15"/>
      <c r="K61" s="15"/>
      <c r="L61" s="19"/>
      <c r="M61" s="15"/>
      <c r="N61" s="15"/>
      <c r="O61" s="15"/>
    </row>
    <row r="62" spans="1:15">
      <c r="A62" s="15"/>
      <c r="B62" s="15"/>
      <c r="C62" s="15"/>
      <c r="D62" s="15"/>
      <c r="E62" s="15"/>
      <c r="F62" s="15"/>
      <c r="G62" s="61"/>
      <c r="H62" s="15"/>
      <c r="I62" s="63"/>
      <c r="J62" s="15"/>
      <c r="K62" s="15"/>
      <c r="L62" s="15"/>
      <c r="M62" s="15"/>
      <c r="N62" s="15"/>
      <c r="O62" s="15"/>
    </row>
    <row r="63" spans="1:15">
      <c r="A63" s="2" t="s">
        <v>29</v>
      </c>
      <c r="B63" s="2"/>
      <c r="C63" s="2"/>
      <c r="D63" s="2"/>
      <c r="E63" s="2"/>
      <c r="F63" s="2"/>
      <c r="G63" s="64"/>
      <c r="H63" s="2"/>
      <c r="I63" s="47">
        <f>JUNE!M64</f>
        <v>29273.1</v>
      </c>
      <c r="J63" s="65" t="s">
        <v>30</v>
      </c>
      <c r="K63" s="65"/>
      <c r="L63" s="65" t="s">
        <v>30</v>
      </c>
      <c r="M63" s="66" t="s">
        <v>31</v>
      </c>
    </row>
    <row r="64" spans="1:15" ht="15.75" thickBot="1">
      <c r="A64" s="1" t="s">
        <v>32</v>
      </c>
      <c r="B64" s="1"/>
      <c r="C64" s="1"/>
      <c r="D64" s="1"/>
      <c r="E64" s="1"/>
      <c r="F64" s="1"/>
      <c r="G64" s="67"/>
      <c r="H64" s="68"/>
      <c r="I64" s="69">
        <f>I61</f>
        <v>29389.8</v>
      </c>
      <c r="J64" s="70"/>
      <c r="K64" s="70"/>
      <c r="L64" s="71"/>
      <c r="M64" s="72">
        <f>I64-J64-L64</f>
        <v>29389.8</v>
      </c>
    </row>
    <row r="65" spans="1:15" ht="15.75" thickTop="1">
      <c r="A65" s="1"/>
      <c r="B65" s="2"/>
      <c r="C65" s="2"/>
      <c r="D65" s="68"/>
      <c r="E65" s="68"/>
      <c r="F65" s="68"/>
      <c r="G65" s="70"/>
      <c r="H65" s="2"/>
      <c r="I65" s="73"/>
      <c r="J65" s="19"/>
      <c r="K65" s="19"/>
      <c r="L65" s="2"/>
      <c r="M65" s="19"/>
      <c r="N65" s="68"/>
      <c r="O65" s="68"/>
    </row>
    <row r="66" spans="1:15">
      <c r="A66" s="2" t="s">
        <v>33</v>
      </c>
      <c r="B66" s="2"/>
      <c r="C66" s="2"/>
      <c r="D66" s="2"/>
      <c r="E66" s="2"/>
      <c r="F66" s="2"/>
      <c r="G66" s="64"/>
      <c r="H66" s="2"/>
      <c r="I66" s="27"/>
      <c r="J66" s="19"/>
      <c r="K66" s="19"/>
      <c r="L66" s="2"/>
      <c r="M66" s="74" t="s">
        <v>708</v>
      </c>
      <c r="N66" s="76"/>
      <c r="O66" s="76"/>
    </row>
    <row r="67" spans="1:15">
      <c r="A67" s="44"/>
      <c r="B67" s="44"/>
      <c r="C67" s="44"/>
      <c r="D67" s="44"/>
      <c r="E67" s="44"/>
      <c r="F67" s="44"/>
      <c r="G67" s="44"/>
      <c r="H67" s="44"/>
      <c r="L67" s="44"/>
      <c r="N67" s="44"/>
      <c r="O67" s="44"/>
    </row>
    <row r="68" spans="1:15">
      <c r="A68" s="44"/>
      <c r="B68" s="44"/>
      <c r="C68" s="44"/>
      <c r="D68" s="44"/>
      <c r="E68" s="44"/>
      <c r="F68" s="44"/>
      <c r="G68" s="44"/>
      <c r="H68" s="44"/>
      <c r="L68" s="44"/>
      <c r="N68" s="44"/>
      <c r="O68" s="44"/>
    </row>
    <row r="69" spans="1:15">
      <c r="A69" s="44"/>
      <c r="B69" s="44"/>
      <c r="C69" s="44"/>
      <c r="D69" s="44"/>
      <c r="E69" s="44"/>
      <c r="F69" s="44"/>
      <c r="G69" s="44"/>
      <c r="H69" s="44"/>
      <c r="L69" s="44"/>
      <c r="N69" s="44"/>
      <c r="O69" s="44"/>
    </row>
    <row r="70" spans="1:15">
      <c r="E70">
        <f>I57/H57*100</f>
        <v>110.60705963112163</v>
      </c>
    </row>
  </sheetData>
  <mergeCells count="1">
    <mergeCell ref="A3:M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FB33-DF6E-4D96-8BC4-6B720335938C}">
  <dimension ref="A1:O70"/>
  <sheetViews>
    <sheetView topLeftCell="A16" workbookViewId="0">
      <selection activeCell="A16" sqref="A16:XFD16"/>
    </sheetView>
  </sheetViews>
  <sheetFormatPr defaultRowHeight="15"/>
  <cols>
    <col min="2" max="2" width="15.140625" customWidth="1"/>
    <col min="3" max="3" width="12.42578125" customWidth="1"/>
    <col min="4" max="4" width="11.7109375" customWidth="1"/>
    <col min="5" max="5" width="13" customWidth="1"/>
    <col min="6" max="6" width="11.7109375" customWidth="1"/>
    <col min="9" max="9" width="12" customWidth="1"/>
    <col min="10" max="10" width="11.5703125" customWidth="1"/>
    <col min="15" max="15" width="17.42578125" customWidth="1"/>
  </cols>
  <sheetData>
    <row r="1" spans="1:15">
      <c r="A1" s="102"/>
      <c r="B1" s="2"/>
      <c r="C1" s="3" t="s">
        <v>0</v>
      </c>
      <c r="D1" s="4"/>
      <c r="E1" s="2"/>
      <c r="F1" s="2"/>
      <c r="G1" s="5"/>
      <c r="H1" s="6"/>
      <c r="I1" s="7"/>
      <c r="J1" s="8"/>
      <c r="K1" s="8"/>
      <c r="L1" s="9"/>
      <c r="M1" s="10"/>
      <c r="N1" s="11"/>
      <c r="O1" s="11"/>
    </row>
    <row r="2" spans="1:15">
      <c r="A2" s="102" t="s">
        <v>1</v>
      </c>
      <c r="B2" s="102"/>
      <c r="C2" s="102"/>
      <c r="D2" s="102"/>
      <c r="E2" s="6"/>
      <c r="F2" s="6"/>
      <c r="G2" s="5"/>
      <c r="H2" s="6"/>
      <c r="I2" s="7"/>
      <c r="J2" s="8"/>
      <c r="K2" s="8"/>
      <c r="L2" s="9"/>
      <c r="M2" s="10"/>
      <c r="N2" s="11"/>
      <c r="O2" s="11"/>
    </row>
    <row r="3" spans="1:15">
      <c r="A3" s="104" t="s">
        <v>596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3"/>
      <c r="O3" s="102"/>
    </row>
    <row r="4" spans="1:15">
      <c r="A4" s="12"/>
      <c r="B4" s="12"/>
      <c r="C4" s="12"/>
      <c r="D4" s="7"/>
      <c r="E4" s="7"/>
      <c r="F4" s="7"/>
      <c r="G4" s="13"/>
      <c r="H4" s="7"/>
      <c r="I4" s="7"/>
      <c r="J4" s="8" t="s">
        <v>3</v>
      </c>
      <c r="K4" s="8"/>
      <c r="L4" s="8"/>
      <c r="M4" s="14"/>
      <c r="N4" s="14"/>
      <c r="O4" s="14"/>
    </row>
    <row r="5" spans="1:15">
      <c r="A5" s="15" t="s">
        <v>34</v>
      </c>
      <c r="B5" s="15"/>
      <c r="C5" s="15"/>
      <c r="D5" s="14"/>
      <c r="E5" s="14"/>
      <c r="F5" s="14"/>
      <c r="G5" s="16"/>
      <c r="H5" s="14"/>
      <c r="I5" s="14"/>
      <c r="J5" s="17" t="s">
        <v>4</v>
      </c>
      <c r="K5" s="17"/>
      <c r="L5" s="17"/>
      <c r="M5" s="14"/>
      <c r="N5" s="14"/>
      <c r="O5" s="14"/>
    </row>
    <row r="6" spans="1:15">
      <c r="A6" s="15" t="s">
        <v>5</v>
      </c>
      <c r="B6" s="18"/>
      <c r="C6" s="15"/>
      <c r="D6" s="19"/>
      <c r="E6" s="19"/>
      <c r="F6" s="19"/>
      <c r="G6" s="20"/>
      <c r="H6" s="19"/>
      <c r="I6" s="14" t="s">
        <v>6</v>
      </c>
      <c r="J6" s="17" t="s">
        <v>197</v>
      </c>
      <c r="K6" s="17"/>
      <c r="L6" s="17"/>
      <c r="M6" s="14"/>
      <c r="N6" s="14"/>
      <c r="O6" s="14"/>
    </row>
    <row r="7" spans="1:15">
      <c r="A7" s="15"/>
      <c r="B7" s="15"/>
      <c r="C7" s="15"/>
      <c r="D7" s="19"/>
      <c r="E7" s="19"/>
      <c r="F7" s="19"/>
      <c r="G7" s="20"/>
      <c r="H7" s="19"/>
      <c r="I7" s="14" t="s">
        <v>7</v>
      </c>
      <c r="J7" s="78" t="s">
        <v>198</v>
      </c>
      <c r="K7" s="78"/>
      <c r="L7" s="17"/>
      <c r="M7" s="14"/>
      <c r="N7" s="14"/>
      <c r="O7" s="14"/>
    </row>
    <row r="8" spans="1:15">
      <c r="A8" s="12" t="s">
        <v>8</v>
      </c>
      <c r="B8" s="12" t="s">
        <v>9</v>
      </c>
      <c r="C8" s="12" t="s">
        <v>10</v>
      </c>
      <c r="D8" s="21" t="s">
        <v>11</v>
      </c>
      <c r="E8" s="22" t="s">
        <v>12</v>
      </c>
      <c r="F8" s="22" t="s">
        <v>163</v>
      </c>
      <c r="G8" s="13" t="s">
        <v>13</v>
      </c>
      <c r="H8" s="23" t="s">
        <v>14</v>
      </c>
      <c r="I8" s="7" t="s">
        <v>15</v>
      </c>
      <c r="J8" s="12" t="s">
        <v>16</v>
      </c>
      <c r="K8" s="12" t="s">
        <v>207</v>
      </c>
      <c r="L8" s="12" t="s">
        <v>17</v>
      </c>
      <c r="M8" s="7" t="s">
        <v>18</v>
      </c>
      <c r="N8" s="7" t="s">
        <v>20</v>
      </c>
      <c r="O8" s="7" t="s">
        <v>19</v>
      </c>
    </row>
    <row r="9" spans="1:15">
      <c r="A9" s="19" t="s">
        <v>35</v>
      </c>
      <c r="B9" s="19" t="s">
        <v>45</v>
      </c>
      <c r="C9" s="24" t="s">
        <v>46</v>
      </c>
      <c r="D9" s="25"/>
      <c r="E9" s="26">
        <v>10100</v>
      </c>
      <c r="F9" s="26">
        <v>570</v>
      </c>
      <c r="G9" s="27">
        <f>AUGUST!M9</f>
        <v>0</v>
      </c>
      <c r="H9" s="27">
        <f>D9+E9+G9+F9</f>
        <v>10670</v>
      </c>
      <c r="I9" s="26">
        <f>10655</f>
        <v>10655</v>
      </c>
      <c r="J9" s="28" t="s">
        <v>812</v>
      </c>
      <c r="K9" s="89" t="s">
        <v>813</v>
      </c>
      <c r="L9" s="29" t="s">
        <v>801</v>
      </c>
      <c r="M9" s="27">
        <f t="shared" ref="M9:M35" si="0">H9-I9</f>
        <v>15</v>
      </c>
      <c r="N9" s="31" t="s">
        <v>238</v>
      </c>
      <c r="O9" s="30"/>
    </row>
    <row r="10" spans="1:15">
      <c r="A10" s="32" t="s">
        <v>37</v>
      </c>
      <c r="B10" s="32" t="s">
        <v>47</v>
      </c>
      <c r="C10" s="24" t="s">
        <v>465</v>
      </c>
      <c r="D10" s="33"/>
      <c r="E10" s="26">
        <v>10100</v>
      </c>
      <c r="F10" s="26">
        <v>390</v>
      </c>
      <c r="G10" s="27">
        <f>AUGUST!M10</f>
        <v>55</v>
      </c>
      <c r="H10" s="27">
        <f t="shared" ref="H10:H56" si="1">D10+E10+G10+F10</f>
        <v>10545</v>
      </c>
      <c r="I10" s="26"/>
      <c r="J10" s="28"/>
      <c r="K10" s="89"/>
      <c r="L10" s="29" t="s">
        <v>801</v>
      </c>
      <c r="M10" s="27">
        <f t="shared" si="0"/>
        <v>10545</v>
      </c>
      <c r="N10" s="31" t="s">
        <v>238</v>
      </c>
      <c r="O10" s="30"/>
    </row>
    <row r="11" spans="1:15">
      <c r="A11" s="19" t="s">
        <v>36</v>
      </c>
      <c r="B11" s="32" t="s">
        <v>477</v>
      </c>
      <c r="C11" s="24" t="s">
        <v>284</v>
      </c>
      <c r="D11" s="34"/>
      <c r="E11" s="26">
        <v>10100</v>
      </c>
      <c r="F11" s="26">
        <v>180</v>
      </c>
      <c r="G11" s="27">
        <f>AUGUST!M11</f>
        <v>2010</v>
      </c>
      <c r="H11" s="27">
        <f t="shared" si="1"/>
        <v>12290</v>
      </c>
      <c r="I11" s="26"/>
      <c r="J11" s="28"/>
      <c r="K11" s="89"/>
      <c r="L11" s="29" t="s">
        <v>801</v>
      </c>
      <c r="M11" s="27">
        <f t="shared" si="0"/>
        <v>12290</v>
      </c>
      <c r="N11" s="31" t="s">
        <v>238</v>
      </c>
      <c r="O11" s="30"/>
    </row>
    <row r="12" spans="1:15">
      <c r="A12" s="19" t="s">
        <v>38</v>
      </c>
      <c r="B12" s="19" t="s">
        <v>506</v>
      </c>
      <c r="C12" s="24" t="s">
        <v>507</v>
      </c>
      <c r="D12" s="34"/>
      <c r="E12" s="26">
        <v>10100</v>
      </c>
      <c r="F12" s="26">
        <v>255</v>
      </c>
      <c r="G12" s="27">
        <f>AUGUST!M12</f>
        <v>-4645.0000000000018</v>
      </c>
      <c r="H12" s="27">
        <f t="shared" si="1"/>
        <v>5709.9999999999982</v>
      </c>
      <c r="I12" s="26"/>
      <c r="J12" s="28"/>
      <c r="K12" s="89"/>
      <c r="L12" s="29" t="s">
        <v>801</v>
      </c>
      <c r="M12" s="27">
        <f t="shared" si="0"/>
        <v>5709.9999999999982</v>
      </c>
      <c r="N12" s="31" t="s">
        <v>238</v>
      </c>
      <c r="O12" s="35"/>
    </row>
    <row r="13" spans="1:15">
      <c r="A13" s="19" t="s">
        <v>39</v>
      </c>
      <c r="B13" s="32" t="s">
        <v>50</v>
      </c>
      <c r="C13" s="36" t="s">
        <v>51</v>
      </c>
      <c r="D13" s="33"/>
      <c r="E13" s="26">
        <v>10100</v>
      </c>
      <c r="F13" s="26">
        <v>375</v>
      </c>
      <c r="G13" s="27">
        <f>AUGUST!M13</f>
        <v>14035</v>
      </c>
      <c r="H13" s="27">
        <f t="shared" si="1"/>
        <v>24510</v>
      </c>
      <c r="I13" s="26">
        <f>10000</f>
        <v>10000</v>
      </c>
      <c r="J13" s="28" t="s">
        <v>804</v>
      </c>
      <c r="K13" s="28" t="s">
        <v>803</v>
      </c>
      <c r="L13" s="29" t="s">
        <v>801</v>
      </c>
      <c r="M13" s="27">
        <f t="shared" si="0"/>
        <v>14510</v>
      </c>
      <c r="N13" s="31" t="s">
        <v>238</v>
      </c>
      <c r="O13" s="30"/>
    </row>
    <row r="14" spans="1:15">
      <c r="A14" s="19" t="s">
        <v>40</v>
      </c>
      <c r="B14" s="19" t="s">
        <v>509</v>
      </c>
      <c r="C14" s="24" t="s">
        <v>558</v>
      </c>
      <c r="D14" s="34"/>
      <c r="E14" s="26">
        <v>10100</v>
      </c>
      <c r="F14" s="26">
        <v>300</v>
      </c>
      <c r="G14" s="27">
        <f>AUGUST!M14</f>
        <v>1079.9999999999982</v>
      </c>
      <c r="H14" s="27">
        <f t="shared" si="1"/>
        <v>11479.999999999998</v>
      </c>
      <c r="I14" s="26">
        <f>10990</f>
        <v>10990</v>
      </c>
      <c r="J14" s="37" t="s">
        <v>817</v>
      </c>
      <c r="K14" s="90" t="s">
        <v>813</v>
      </c>
      <c r="L14" s="29" t="s">
        <v>801</v>
      </c>
      <c r="M14" s="27">
        <f t="shared" si="0"/>
        <v>489.99999999999818</v>
      </c>
      <c r="N14" s="31" t="s">
        <v>238</v>
      </c>
      <c r="O14" s="35"/>
    </row>
    <row r="15" spans="1:15">
      <c r="A15" s="38" t="s">
        <v>41</v>
      </c>
      <c r="B15" s="2" t="s">
        <v>467</v>
      </c>
      <c r="C15" s="39" t="s">
        <v>468</v>
      </c>
      <c r="D15" s="40"/>
      <c r="E15" s="41">
        <v>10100</v>
      </c>
      <c r="F15" s="41">
        <v>165</v>
      </c>
      <c r="G15" s="27">
        <f>AUGUST!M15</f>
        <v>109.99999999999957</v>
      </c>
      <c r="H15" s="27">
        <f t="shared" si="1"/>
        <v>10375</v>
      </c>
      <c r="I15" s="26">
        <f>10000</f>
        <v>10000</v>
      </c>
      <c r="J15" s="28" t="s">
        <v>806</v>
      </c>
      <c r="K15" s="89" t="s">
        <v>807</v>
      </c>
      <c r="L15" s="29" t="s">
        <v>801</v>
      </c>
      <c r="M15" s="27">
        <f t="shared" si="0"/>
        <v>375</v>
      </c>
      <c r="N15" s="31" t="s">
        <v>238</v>
      </c>
      <c r="O15" s="42"/>
    </row>
    <row r="16" spans="1:15">
      <c r="A16" s="19" t="s">
        <v>42</v>
      </c>
      <c r="B16" s="19" t="s">
        <v>56</v>
      </c>
      <c r="C16" s="24" t="s">
        <v>470</v>
      </c>
      <c r="D16" s="34"/>
      <c r="E16" s="26">
        <v>12100</v>
      </c>
      <c r="F16" s="26">
        <v>750</v>
      </c>
      <c r="G16" s="27">
        <f>AUGUST!M16</f>
        <v>600.99999999999818</v>
      </c>
      <c r="H16" s="27">
        <f t="shared" si="1"/>
        <v>13450.999999999998</v>
      </c>
      <c r="I16" s="26"/>
      <c r="J16" s="37"/>
      <c r="K16" s="37"/>
      <c r="L16" s="29" t="s">
        <v>801</v>
      </c>
      <c r="M16" s="27">
        <f t="shared" si="0"/>
        <v>13450.999999999998</v>
      </c>
      <c r="N16" s="31" t="s">
        <v>238</v>
      </c>
      <c r="O16" s="15"/>
    </row>
    <row r="17" spans="1:15">
      <c r="A17" s="19" t="s">
        <v>43</v>
      </c>
      <c r="B17" s="19" t="s">
        <v>58</v>
      </c>
      <c r="C17" s="24" t="s">
        <v>59</v>
      </c>
      <c r="D17" s="34"/>
      <c r="E17" s="26">
        <v>14100</v>
      </c>
      <c r="F17" s="26">
        <v>1110</v>
      </c>
      <c r="G17" s="27">
        <f>AUGUST!M17</f>
        <v>3304.9999999999964</v>
      </c>
      <c r="H17" s="27">
        <f t="shared" si="1"/>
        <v>18514.999999999996</v>
      </c>
      <c r="I17" s="26"/>
      <c r="J17" s="28"/>
      <c r="K17" s="89"/>
      <c r="L17" s="29" t="s">
        <v>801</v>
      </c>
      <c r="M17" s="27">
        <f t="shared" si="0"/>
        <v>18514.999999999996</v>
      </c>
      <c r="N17" s="31" t="s">
        <v>238</v>
      </c>
      <c r="O17" s="30"/>
    </row>
    <row r="18" spans="1:15">
      <c r="A18" s="19" t="s">
        <v>44</v>
      </c>
      <c r="B18" s="19" t="s">
        <v>60</v>
      </c>
      <c r="C18" s="24" t="s">
        <v>473</v>
      </c>
      <c r="D18" s="34"/>
      <c r="E18" s="26">
        <v>10100</v>
      </c>
      <c r="F18" s="26">
        <v>765</v>
      </c>
      <c r="G18" s="27">
        <f>AUGUST!M18</f>
        <v>660.00000000000182</v>
      </c>
      <c r="H18" s="27">
        <f t="shared" si="1"/>
        <v>11525.000000000002</v>
      </c>
      <c r="I18" s="26"/>
      <c r="J18" s="28"/>
      <c r="K18" s="89"/>
      <c r="L18" s="29" t="s">
        <v>801</v>
      </c>
      <c r="M18" s="27">
        <f t="shared" si="0"/>
        <v>11525.000000000002</v>
      </c>
      <c r="N18" s="31" t="s">
        <v>238</v>
      </c>
      <c r="O18" s="45"/>
    </row>
    <row r="19" spans="1:15">
      <c r="A19" s="32" t="s">
        <v>62</v>
      </c>
      <c r="B19" s="32" t="s">
        <v>63</v>
      </c>
      <c r="C19" s="46" t="s">
        <v>64</v>
      </c>
      <c r="D19" s="33"/>
      <c r="E19" s="26">
        <v>10100</v>
      </c>
      <c r="F19" s="26">
        <v>120</v>
      </c>
      <c r="G19" s="27">
        <f>AUGUST!M19</f>
        <v>105</v>
      </c>
      <c r="H19" s="27">
        <f t="shared" si="1"/>
        <v>10325</v>
      </c>
      <c r="I19" s="47">
        <f>10235</f>
        <v>10235</v>
      </c>
      <c r="J19" s="28" t="s">
        <v>819</v>
      </c>
      <c r="K19" s="89" t="s">
        <v>813</v>
      </c>
      <c r="L19" s="29" t="s">
        <v>801</v>
      </c>
      <c r="M19" s="27">
        <f t="shared" si="0"/>
        <v>90</v>
      </c>
      <c r="N19" s="31" t="s">
        <v>238</v>
      </c>
      <c r="O19" s="15"/>
    </row>
    <row r="20" spans="1:15">
      <c r="A20" s="19" t="s">
        <v>65</v>
      </c>
      <c r="B20" s="19" t="s">
        <v>671</v>
      </c>
      <c r="C20" s="24" t="s">
        <v>790</v>
      </c>
      <c r="D20" s="33"/>
      <c r="E20" s="26">
        <v>10100</v>
      </c>
      <c r="F20" s="26">
        <v>135</v>
      </c>
      <c r="G20" s="27">
        <f>AUGUST!M20</f>
        <v>5235</v>
      </c>
      <c r="H20" s="27">
        <f t="shared" si="1"/>
        <v>15470</v>
      </c>
      <c r="I20" s="26"/>
      <c r="J20" s="48"/>
      <c r="K20" s="89"/>
      <c r="L20" s="29" t="s">
        <v>801</v>
      </c>
      <c r="M20" s="27">
        <f t="shared" si="0"/>
        <v>15470</v>
      </c>
      <c r="N20" s="31" t="s">
        <v>238</v>
      </c>
      <c r="O20" s="30"/>
    </row>
    <row r="21" spans="1:15">
      <c r="A21" s="19" t="s">
        <v>68</v>
      </c>
      <c r="B21" s="19" t="s">
        <v>302</v>
      </c>
      <c r="C21" s="24" t="s">
        <v>474</v>
      </c>
      <c r="D21" s="34"/>
      <c r="E21" s="26">
        <v>10100</v>
      </c>
      <c r="F21" s="26">
        <v>420</v>
      </c>
      <c r="G21" s="27">
        <f>AUGUST!M21</f>
        <v>385</v>
      </c>
      <c r="H21" s="27">
        <f t="shared" si="1"/>
        <v>10905</v>
      </c>
      <c r="I21" s="26"/>
      <c r="J21" s="28"/>
      <c r="K21" s="89"/>
      <c r="L21" s="29" t="s">
        <v>801</v>
      </c>
      <c r="M21" s="27">
        <f t="shared" si="0"/>
        <v>10905</v>
      </c>
      <c r="N21" s="31" t="s">
        <v>238</v>
      </c>
      <c r="O21" s="49"/>
    </row>
    <row r="22" spans="1:15">
      <c r="A22" s="19" t="s">
        <v>71</v>
      </c>
      <c r="B22" s="19" t="s">
        <v>604</v>
      </c>
      <c r="C22" s="24" t="s">
        <v>605</v>
      </c>
      <c r="D22" s="34"/>
      <c r="E22" s="26">
        <v>10100</v>
      </c>
      <c r="F22" s="26">
        <v>900</v>
      </c>
      <c r="G22" s="27">
        <f>AUGUST!M22</f>
        <v>-9445</v>
      </c>
      <c r="H22" s="27">
        <f t="shared" si="1"/>
        <v>1555</v>
      </c>
      <c r="I22" s="26"/>
      <c r="J22" s="28"/>
      <c r="K22" s="89"/>
      <c r="L22" s="29" t="s">
        <v>801</v>
      </c>
      <c r="M22" s="27">
        <f t="shared" si="0"/>
        <v>1555</v>
      </c>
      <c r="N22" s="31" t="s">
        <v>238</v>
      </c>
      <c r="O22" s="30"/>
    </row>
    <row r="23" spans="1:15">
      <c r="A23" s="19" t="s">
        <v>74</v>
      </c>
      <c r="B23" s="32" t="s">
        <v>233</v>
      </c>
      <c r="C23" s="24" t="s">
        <v>476</v>
      </c>
      <c r="D23" s="34"/>
      <c r="E23" s="26">
        <f>10100</f>
        <v>10100</v>
      </c>
      <c r="F23" s="26">
        <v>780</v>
      </c>
      <c r="G23" s="27">
        <f>AUGUST!M23</f>
        <v>-10985</v>
      </c>
      <c r="H23" s="27">
        <f t="shared" si="1"/>
        <v>-105</v>
      </c>
      <c r="I23" s="26">
        <f>15800</f>
        <v>15800</v>
      </c>
      <c r="J23" s="37" t="s">
        <v>808</v>
      </c>
      <c r="K23" s="90" t="s">
        <v>809</v>
      </c>
      <c r="L23" s="29" t="s">
        <v>801</v>
      </c>
      <c r="M23" s="27">
        <f t="shared" si="0"/>
        <v>-15905</v>
      </c>
      <c r="N23" s="31" t="s">
        <v>238</v>
      </c>
      <c r="O23" s="30"/>
    </row>
    <row r="24" spans="1:15">
      <c r="A24" s="19" t="s">
        <v>77</v>
      </c>
      <c r="B24" s="19" t="s">
        <v>78</v>
      </c>
      <c r="C24" s="24" t="s">
        <v>299</v>
      </c>
      <c r="D24" s="34"/>
      <c r="E24" s="26">
        <v>10100</v>
      </c>
      <c r="F24" s="26">
        <v>555</v>
      </c>
      <c r="G24" s="27">
        <f>AUGUST!M24</f>
        <v>-105.00000000000182</v>
      </c>
      <c r="H24" s="27">
        <f t="shared" si="1"/>
        <v>10549.999999999998</v>
      </c>
      <c r="I24" s="26"/>
      <c r="J24" s="28"/>
      <c r="K24" s="89"/>
      <c r="L24" s="29" t="s">
        <v>801</v>
      </c>
      <c r="M24" s="27">
        <f t="shared" si="0"/>
        <v>10549.999999999998</v>
      </c>
      <c r="N24" s="31" t="s">
        <v>238</v>
      </c>
      <c r="O24" s="30"/>
    </row>
    <row r="25" spans="1:15">
      <c r="A25" s="19" t="s">
        <v>80</v>
      </c>
      <c r="B25" s="19" t="s">
        <v>81</v>
      </c>
      <c r="C25" s="46" t="s">
        <v>82</v>
      </c>
      <c r="D25" s="33"/>
      <c r="E25" s="26">
        <v>10100</v>
      </c>
      <c r="F25" s="26">
        <v>495</v>
      </c>
      <c r="G25" s="27">
        <f>AUGUST!M25</f>
        <v>869</v>
      </c>
      <c r="H25" s="27">
        <f t="shared" si="1"/>
        <v>11464</v>
      </c>
      <c r="I25" s="26"/>
      <c r="J25" s="28"/>
      <c r="K25" s="89"/>
      <c r="L25" s="29" t="s">
        <v>801</v>
      </c>
      <c r="M25" s="27">
        <f t="shared" si="0"/>
        <v>11464</v>
      </c>
      <c r="N25" s="31" t="s">
        <v>238</v>
      </c>
      <c r="O25" s="30"/>
    </row>
    <row r="26" spans="1:15">
      <c r="A26" s="19" t="s">
        <v>83</v>
      </c>
      <c r="B26" s="19" t="s">
        <v>84</v>
      </c>
      <c r="C26" s="24" t="s">
        <v>85</v>
      </c>
      <c r="D26" s="33"/>
      <c r="E26" s="26">
        <v>10100</v>
      </c>
      <c r="F26" s="26">
        <v>150</v>
      </c>
      <c r="G26" s="27">
        <f>AUGUST!M26</f>
        <v>0</v>
      </c>
      <c r="H26" s="27">
        <f t="shared" si="1"/>
        <v>10250</v>
      </c>
      <c r="I26" s="26"/>
      <c r="J26" s="28"/>
      <c r="K26" s="89"/>
      <c r="L26" s="29" t="s">
        <v>801</v>
      </c>
      <c r="M26" s="27">
        <f t="shared" si="0"/>
        <v>10250</v>
      </c>
      <c r="N26" s="31" t="s">
        <v>238</v>
      </c>
      <c r="O26" s="30"/>
    </row>
    <row r="27" spans="1:15">
      <c r="A27" s="19" t="s">
        <v>86</v>
      </c>
      <c r="B27" s="19" t="s">
        <v>87</v>
      </c>
      <c r="C27" s="24" t="s">
        <v>88</v>
      </c>
      <c r="D27" s="33"/>
      <c r="E27" s="26">
        <v>10100</v>
      </c>
      <c r="F27" s="26">
        <v>510</v>
      </c>
      <c r="G27" s="27">
        <f>AUGUST!M27</f>
        <v>-680.00000000000182</v>
      </c>
      <c r="H27" s="27">
        <f t="shared" si="1"/>
        <v>9929.9999999999982</v>
      </c>
      <c r="I27" s="26"/>
      <c r="J27" s="28"/>
      <c r="K27" s="89"/>
      <c r="L27" s="29" t="s">
        <v>801</v>
      </c>
      <c r="M27" s="27">
        <f t="shared" si="0"/>
        <v>9929.9999999999982</v>
      </c>
      <c r="N27" s="31" t="s">
        <v>238</v>
      </c>
      <c r="O27" s="30"/>
    </row>
    <row r="28" spans="1:15">
      <c r="A28" s="19" t="s">
        <v>89</v>
      </c>
      <c r="B28" s="19" t="s">
        <v>90</v>
      </c>
      <c r="C28" s="24" t="s">
        <v>91</v>
      </c>
      <c r="D28" s="33"/>
      <c r="E28" s="26">
        <v>10100</v>
      </c>
      <c r="F28" s="26">
        <v>630</v>
      </c>
      <c r="G28" s="27">
        <f>AUGUST!M28</f>
        <v>1930.0000000000014</v>
      </c>
      <c r="H28" s="27">
        <f t="shared" si="1"/>
        <v>12660.000000000002</v>
      </c>
      <c r="I28" s="26"/>
      <c r="J28" s="28"/>
      <c r="K28" s="89"/>
      <c r="L28" s="29" t="s">
        <v>801</v>
      </c>
      <c r="M28" s="27">
        <f t="shared" si="0"/>
        <v>12660.000000000002</v>
      </c>
      <c r="N28" s="31" t="s">
        <v>238</v>
      </c>
      <c r="O28" s="30"/>
    </row>
    <row r="29" spans="1:15">
      <c r="A29" s="19" t="s">
        <v>92</v>
      </c>
      <c r="B29" s="19" t="s">
        <v>228</v>
      </c>
      <c r="C29" s="24"/>
      <c r="D29" s="33"/>
      <c r="E29" s="26"/>
      <c r="F29" s="26">
        <v>0</v>
      </c>
      <c r="G29" s="27">
        <f>AUGUST!M29</f>
        <v>0</v>
      </c>
      <c r="H29" s="27">
        <f t="shared" si="1"/>
        <v>0</v>
      </c>
      <c r="I29" s="26"/>
      <c r="J29" s="28"/>
      <c r="K29" s="28"/>
      <c r="L29" s="29" t="s">
        <v>801</v>
      </c>
      <c r="M29" s="27">
        <f t="shared" si="0"/>
        <v>0</v>
      </c>
      <c r="N29" s="31" t="s">
        <v>238</v>
      </c>
      <c r="O29" s="30"/>
    </row>
    <row r="30" spans="1:15">
      <c r="A30" s="19" t="s">
        <v>95</v>
      </c>
      <c r="B30" s="19" t="s">
        <v>93</v>
      </c>
      <c r="C30" s="24" t="s">
        <v>94</v>
      </c>
      <c r="D30" s="33"/>
      <c r="E30" s="26">
        <v>10100</v>
      </c>
      <c r="F30" s="26">
        <v>255</v>
      </c>
      <c r="G30" s="27">
        <f>AUGUST!M30</f>
        <v>154.99999999999773</v>
      </c>
      <c r="H30" s="27">
        <f t="shared" si="1"/>
        <v>10509.999999999998</v>
      </c>
      <c r="I30" s="26">
        <f>10300</f>
        <v>10300</v>
      </c>
      <c r="J30" s="37" t="s">
        <v>802</v>
      </c>
      <c r="K30" s="90" t="s">
        <v>803</v>
      </c>
      <c r="L30" s="29" t="s">
        <v>801</v>
      </c>
      <c r="M30" s="27">
        <f t="shared" si="0"/>
        <v>209.99999999999818</v>
      </c>
      <c r="N30" s="31" t="s">
        <v>238</v>
      </c>
      <c r="O30" s="30"/>
    </row>
    <row r="31" spans="1:15">
      <c r="A31" s="19" t="s">
        <v>98</v>
      </c>
      <c r="B31" s="19" t="s">
        <v>96</v>
      </c>
      <c r="C31" s="24" t="s">
        <v>97</v>
      </c>
      <c r="D31" s="33"/>
      <c r="E31" s="26">
        <v>10100</v>
      </c>
      <c r="F31" s="26">
        <v>30</v>
      </c>
      <c r="G31" s="27">
        <f>AUGUST!M31</f>
        <v>-8</v>
      </c>
      <c r="H31" s="27">
        <f t="shared" si="1"/>
        <v>10122</v>
      </c>
      <c r="I31" s="26"/>
      <c r="J31" s="28"/>
      <c r="K31" s="89"/>
      <c r="L31" s="29" t="s">
        <v>801</v>
      </c>
      <c r="M31" s="27">
        <f t="shared" si="0"/>
        <v>10122</v>
      </c>
      <c r="N31" s="31" t="s">
        <v>238</v>
      </c>
      <c r="O31" s="30"/>
    </row>
    <row r="32" spans="1:15">
      <c r="A32" s="19" t="s">
        <v>99</v>
      </c>
      <c r="B32" s="32" t="s">
        <v>192</v>
      </c>
      <c r="C32" s="36" t="s">
        <v>193</v>
      </c>
      <c r="D32" s="33"/>
      <c r="E32" s="26">
        <v>10100</v>
      </c>
      <c r="F32" s="26">
        <v>1110</v>
      </c>
      <c r="G32" s="27">
        <f>AUGUST!M32</f>
        <v>3539.9999999999982</v>
      </c>
      <c r="H32" s="27">
        <f t="shared" si="1"/>
        <v>14749.999999999998</v>
      </c>
      <c r="I32" s="26"/>
      <c r="J32" s="48"/>
      <c r="K32" s="89"/>
      <c r="L32" s="29" t="s">
        <v>801</v>
      </c>
      <c r="M32" s="27">
        <f t="shared" si="0"/>
        <v>14749.999999999998</v>
      </c>
      <c r="N32" s="31" t="s">
        <v>238</v>
      </c>
      <c r="O32" s="30"/>
    </row>
    <row r="33" spans="1:15">
      <c r="A33" s="19" t="s">
        <v>102</v>
      </c>
      <c r="B33" s="19" t="s">
        <v>488</v>
      </c>
      <c r="C33" s="24" t="s">
        <v>101</v>
      </c>
      <c r="D33" s="33"/>
      <c r="E33" s="26">
        <v>10100</v>
      </c>
      <c r="F33" s="26">
        <v>195</v>
      </c>
      <c r="G33" s="27">
        <f>AUGUST!M33</f>
        <v>-154.99999999999818</v>
      </c>
      <c r="H33" s="27">
        <f t="shared" si="1"/>
        <v>10140.000000000002</v>
      </c>
      <c r="I33" s="26">
        <f>10220</f>
        <v>10220</v>
      </c>
      <c r="J33" s="28" t="s">
        <v>814</v>
      </c>
      <c r="K33" s="89" t="s">
        <v>815</v>
      </c>
      <c r="L33" s="29" t="s">
        <v>801</v>
      </c>
      <c r="M33" s="27">
        <f t="shared" si="0"/>
        <v>-79.999999999998181</v>
      </c>
      <c r="N33" s="31" t="s">
        <v>238</v>
      </c>
      <c r="O33" s="30"/>
    </row>
    <row r="34" spans="1:15">
      <c r="A34" s="19" t="s">
        <v>105</v>
      </c>
      <c r="B34" s="19" t="s">
        <v>103</v>
      </c>
      <c r="C34" s="24" t="s">
        <v>104</v>
      </c>
      <c r="D34" s="33"/>
      <c r="E34" s="26">
        <v>10100</v>
      </c>
      <c r="F34" s="26">
        <v>180</v>
      </c>
      <c r="G34" s="27">
        <f>AUGUST!M34</f>
        <v>-10609.999999999998</v>
      </c>
      <c r="H34" s="27">
        <f t="shared" si="1"/>
        <v>-329.99999999999818</v>
      </c>
      <c r="I34" s="26"/>
      <c r="J34" s="28"/>
      <c r="K34" s="89"/>
      <c r="L34" s="29" t="s">
        <v>801</v>
      </c>
      <c r="M34" s="27">
        <f t="shared" si="0"/>
        <v>-329.99999999999818</v>
      </c>
      <c r="N34" s="31" t="s">
        <v>238</v>
      </c>
      <c r="O34" s="30"/>
    </row>
    <row r="35" spans="1:15">
      <c r="A35" s="19" t="s">
        <v>108</v>
      </c>
      <c r="B35" s="19" t="s">
        <v>106</v>
      </c>
      <c r="C35" s="24" t="s">
        <v>107</v>
      </c>
      <c r="D35" s="33"/>
      <c r="E35" s="26">
        <v>10100</v>
      </c>
      <c r="F35" s="26">
        <v>135</v>
      </c>
      <c r="G35" s="27">
        <f>AUGUST!M35</f>
        <v>-330.00000000000182</v>
      </c>
      <c r="H35" s="27">
        <f t="shared" si="1"/>
        <v>9904.9999999999982</v>
      </c>
      <c r="I35" s="26"/>
      <c r="J35" s="28"/>
      <c r="K35" s="89"/>
      <c r="L35" s="29" t="s">
        <v>801</v>
      </c>
      <c r="M35" s="27">
        <f t="shared" si="0"/>
        <v>9904.9999999999982</v>
      </c>
      <c r="N35" s="31" t="s">
        <v>238</v>
      </c>
      <c r="O35" s="30"/>
    </row>
    <row r="36" spans="1:15">
      <c r="A36" s="19" t="s">
        <v>111</v>
      </c>
      <c r="B36" s="19" t="s">
        <v>109</v>
      </c>
      <c r="C36" s="24" t="s">
        <v>110</v>
      </c>
      <c r="D36" s="33"/>
      <c r="E36" s="26">
        <v>10100</v>
      </c>
      <c r="F36" s="26">
        <v>45</v>
      </c>
      <c r="G36" s="27">
        <f>AUGUST!M36</f>
        <v>-10094.999999999996</v>
      </c>
      <c r="H36" s="27">
        <f t="shared" si="1"/>
        <v>50.000000000003638</v>
      </c>
      <c r="I36" s="26">
        <f>10150</f>
        <v>10150</v>
      </c>
      <c r="J36" s="28" t="s">
        <v>825</v>
      </c>
      <c r="K36" s="89" t="s">
        <v>815</v>
      </c>
      <c r="L36" s="29" t="s">
        <v>801</v>
      </c>
      <c r="M36" s="27">
        <f>H36-I36</f>
        <v>-10099.999999999996</v>
      </c>
      <c r="N36" s="31" t="s">
        <v>238</v>
      </c>
      <c r="O36" s="30"/>
    </row>
    <row r="37" spans="1:15">
      <c r="A37" s="19" t="s">
        <v>114</v>
      </c>
      <c r="B37" s="19" t="s">
        <v>112</v>
      </c>
      <c r="C37" s="24" t="s">
        <v>113</v>
      </c>
      <c r="D37" s="33"/>
      <c r="E37" s="26">
        <v>10100</v>
      </c>
      <c r="F37" s="26">
        <v>255</v>
      </c>
      <c r="G37" s="27">
        <f>AUGUST!M37</f>
        <v>35</v>
      </c>
      <c r="H37" s="27">
        <f t="shared" si="1"/>
        <v>10390</v>
      </c>
      <c r="I37" s="91"/>
      <c r="J37" s="91"/>
      <c r="K37" s="89"/>
      <c r="L37" s="29" t="s">
        <v>801</v>
      </c>
      <c r="M37" s="27">
        <f>H37-I37</f>
        <v>10390</v>
      </c>
      <c r="N37" s="31" t="s">
        <v>238</v>
      </c>
      <c r="O37" s="30"/>
    </row>
    <row r="38" spans="1:15">
      <c r="A38" s="19" t="s">
        <v>117</v>
      </c>
      <c r="B38" s="19" t="s">
        <v>115</v>
      </c>
      <c r="C38" s="24" t="s">
        <v>116</v>
      </c>
      <c r="D38" s="33"/>
      <c r="E38" s="26">
        <v>10100</v>
      </c>
      <c r="F38" s="26">
        <v>300</v>
      </c>
      <c r="G38" s="27">
        <f>AUGUST!M38</f>
        <v>120</v>
      </c>
      <c r="H38" s="27">
        <f t="shared" si="1"/>
        <v>10520</v>
      </c>
      <c r="I38" s="26">
        <f>10655</f>
        <v>10655</v>
      </c>
      <c r="J38" s="28" t="s">
        <v>822</v>
      </c>
      <c r="K38" s="28" t="s">
        <v>815</v>
      </c>
      <c r="L38" s="29" t="s">
        <v>801</v>
      </c>
      <c r="M38" s="27">
        <f t="shared" ref="M38:M55" si="2">H38-I38</f>
        <v>-135</v>
      </c>
      <c r="N38" s="31" t="s">
        <v>238</v>
      </c>
      <c r="O38" s="30"/>
    </row>
    <row r="39" spans="1:15">
      <c r="A39" s="19" t="s">
        <v>120</v>
      </c>
      <c r="B39" s="19" t="s">
        <v>797</v>
      </c>
      <c r="C39" s="24" t="s">
        <v>119</v>
      </c>
      <c r="D39" s="33"/>
      <c r="E39" s="26">
        <v>10100</v>
      </c>
      <c r="F39" s="26">
        <v>180</v>
      </c>
      <c r="G39" s="27">
        <f>AUGUST!M39</f>
        <v>0</v>
      </c>
      <c r="H39" s="27">
        <f t="shared" si="1"/>
        <v>10280</v>
      </c>
      <c r="I39" s="26"/>
      <c r="J39" s="28"/>
      <c r="K39" s="89"/>
      <c r="L39" s="29" t="s">
        <v>801</v>
      </c>
      <c r="M39" s="27">
        <f t="shared" si="2"/>
        <v>10280</v>
      </c>
      <c r="N39" s="31" t="s">
        <v>238</v>
      </c>
      <c r="O39" s="30"/>
    </row>
    <row r="40" spans="1:15">
      <c r="A40" s="19" t="s">
        <v>122</v>
      </c>
      <c r="B40" s="19" t="s">
        <v>174</v>
      </c>
      <c r="C40" s="24" t="s">
        <v>493</v>
      </c>
      <c r="D40" s="33"/>
      <c r="E40" s="26">
        <v>10100</v>
      </c>
      <c r="F40" s="26">
        <v>195</v>
      </c>
      <c r="G40" s="27">
        <f>AUGUST!M40</f>
        <v>-10550</v>
      </c>
      <c r="H40" s="27">
        <f t="shared" si="1"/>
        <v>-255</v>
      </c>
      <c r="I40" s="26"/>
      <c r="J40" s="28"/>
      <c r="K40" s="89"/>
      <c r="L40" s="29" t="s">
        <v>801</v>
      </c>
      <c r="M40" s="27">
        <f t="shared" si="2"/>
        <v>-255</v>
      </c>
      <c r="N40" s="31" t="s">
        <v>238</v>
      </c>
      <c r="O40" s="30"/>
    </row>
    <row r="41" spans="1:15">
      <c r="A41" s="19" t="s">
        <v>123</v>
      </c>
      <c r="B41" s="19" t="s">
        <v>563</v>
      </c>
      <c r="C41" s="24" t="s">
        <v>564</v>
      </c>
      <c r="D41" s="33"/>
      <c r="E41" s="26">
        <v>10100</v>
      </c>
      <c r="F41" s="26">
        <v>15</v>
      </c>
      <c r="G41" s="27">
        <f>AUGUST!M41</f>
        <v>6480.0000000000036</v>
      </c>
      <c r="H41" s="27">
        <f t="shared" si="1"/>
        <v>16595.000000000004</v>
      </c>
      <c r="I41" s="26"/>
      <c r="J41" s="28"/>
      <c r="K41" s="89"/>
      <c r="L41" s="29" t="s">
        <v>801</v>
      </c>
      <c r="M41" s="27">
        <f t="shared" si="2"/>
        <v>16595.000000000004</v>
      </c>
      <c r="N41" s="31" t="s">
        <v>238</v>
      </c>
      <c r="O41" s="30" t="s">
        <v>636</v>
      </c>
    </row>
    <row r="42" spans="1:15">
      <c r="A42" s="19" t="s">
        <v>126</v>
      </c>
      <c r="B42" s="19" t="s">
        <v>124</v>
      </c>
      <c r="C42" s="24" t="s">
        <v>125</v>
      </c>
      <c r="D42" s="33"/>
      <c r="E42" s="26">
        <v>10100</v>
      </c>
      <c r="F42" s="26">
        <v>315</v>
      </c>
      <c r="G42" s="27">
        <f>AUGUST!M42</f>
        <v>351</v>
      </c>
      <c r="H42" s="27">
        <f t="shared" si="1"/>
        <v>10766</v>
      </c>
      <c r="I42" s="26">
        <f>10240</f>
        <v>10240</v>
      </c>
      <c r="J42" s="28" t="s">
        <v>823</v>
      </c>
      <c r="K42" s="89" t="s">
        <v>815</v>
      </c>
      <c r="L42" s="29" t="s">
        <v>801</v>
      </c>
      <c r="M42" s="27">
        <f t="shared" si="2"/>
        <v>526</v>
      </c>
      <c r="N42" s="31" t="s">
        <v>238</v>
      </c>
      <c r="O42" s="30"/>
    </row>
    <row r="43" spans="1:15">
      <c r="A43" s="19" t="s">
        <v>127</v>
      </c>
      <c r="B43" s="19" t="s">
        <v>794</v>
      </c>
      <c r="C43" s="24" t="s">
        <v>795</v>
      </c>
      <c r="D43" s="33"/>
      <c r="E43" s="26">
        <v>10100</v>
      </c>
      <c r="F43" s="26">
        <v>180</v>
      </c>
      <c r="G43" s="27">
        <f>AUGUST!M43</f>
        <v>0</v>
      </c>
      <c r="H43" s="27">
        <f t="shared" si="1"/>
        <v>10280</v>
      </c>
      <c r="I43" s="26">
        <f>10885+100</f>
        <v>10985</v>
      </c>
      <c r="J43" s="28" t="s">
        <v>826</v>
      </c>
      <c r="K43" s="89" t="s">
        <v>827</v>
      </c>
      <c r="L43" s="29" t="s">
        <v>801</v>
      </c>
      <c r="M43" s="27">
        <f t="shared" si="2"/>
        <v>-705</v>
      </c>
      <c r="N43" s="31" t="s">
        <v>238</v>
      </c>
      <c r="O43" s="30"/>
    </row>
    <row r="44" spans="1:15">
      <c r="A44" s="19" t="s">
        <v>130</v>
      </c>
      <c r="B44" s="19" t="s">
        <v>128</v>
      </c>
      <c r="C44" s="24" t="s">
        <v>129</v>
      </c>
      <c r="D44" s="33"/>
      <c r="E44" s="26">
        <v>10100</v>
      </c>
      <c r="F44" s="26">
        <v>675</v>
      </c>
      <c r="G44" s="27">
        <f>AUGUST!M44</f>
        <v>1729.0000000000018</v>
      </c>
      <c r="H44" s="27">
        <f t="shared" si="1"/>
        <v>12504.000000000002</v>
      </c>
      <c r="I44" s="26"/>
      <c r="J44" s="28"/>
      <c r="K44" s="89"/>
      <c r="L44" s="29" t="s">
        <v>801</v>
      </c>
      <c r="M44" s="27">
        <f t="shared" si="2"/>
        <v>12504.000000000002</v>
      </c>
      <c r="N44" s="31" t="s">
        <v>238</v>
      </c>
      <c r="O44" s="30"/>
    </row>
    <row r="45" spans="1:15">
      <c r="A45" s="19" t="s">
        <v>133</v>
      </c>
      <c r="B45" s="19" t="s">
        <v>300</v>
      </c>
      <c r="C45" s="24" t="s">
        <v>132</v>
      </c>
      <c r="D45" s="33"/>
      <c r="E45" s="26">
        <v>10100</v>
      </c>
      <c r="F45" s="26">
        <v>300</v>
      </c>
      <c r="G45" s="27">
        <f>AUGUST!M45</f>
        <v>-16230</v>
      </c>
      <c r="H45" s="27">
        <f t="shared" si="1"/>
        <v>-5830</v>
      </c>
      <c r="I45" s="26"/>
      <c r="J45" s="28"/>
      <c r="K45" s="89"/>
      <c r="L45" s="29" t="s">
        <v>801</v>
      </c>
      <c r="M45" s="27">
        <f t="shared" si="2"/>
        <v>-5830</v>
      </c>
      <c r="N45" s="31" t="s">
        <v>238</v>
      </c>
      <c r="O45" s="30"/>
    </row>
    <row r="46" spans="1:15">
      <c r="A46" s="19" t="s">
        <v>136</v>
      </c>
      <c r="B46" s="19" t="s">
        <v>134</v>
      </c>
      <c r="C46" s="24" t="s">
        <v>135</v>
      </c>
      <c r="D46" s="33"/>
      <c r="E46" s="26">
        <v>10100</v>
      </c>
      <c r="F46" s="26">
        <v>810</v>
      </c>
      <c r="G46" s="27">
        <f>AUGUST!M46</f>
        <v>-111</v>
      </c>
      <c r="H46" s="27">
        <f t="shared" si="1"/>
        <v>10799</v>
      </c>
      <c r="I46" s="26"/>
      <c r="J46" s="28"/>
      <c r="K46" s="89"/>
      <c r="L46" s="29" t="s">
        <v>801</v>
      </c>
      <c r="M46" s="27">
        <f t="shared" si="2"/>
        <v>10799</v>
      </c>
      <c r="N46" s="31" t="s">
        <v>238</v>
      </c>
      <c r="O46" s="30"/>
    </row>
    <row r="47" spans="1:15">
      <c r="A47" s="19" t="s">
        <v>139</v>
      </c>
      <c r="B47" s="19" t="s">
        <v>137</v>
      </c>
      <c r="C47" s="24" t="s">
        <v>138</v>
      </c>
      <c r="D47" s="33"/>
      <c r="E47" s="26">
        <v>10100</v>
      </c>
      <c r="F47" s="26">
        <v>180</v>
      </c>
      <c r="G47" s="27">
        <f>AUGUST!M47</f>
        <v>90</v>
      </c>
      <c r="H47" s="27">
        <f t="shared" si="1"/>
        <v>10370</v>
      </c>
      <c r="I47" s="26"/>
      <c r="J47" s="28"/>
      <c r="K47" s="89"/>
      <c r="L47" s="29" t="s">
        <v>801</v>
      </c>
      <c r="M47" s="27">
        <f t="shared" si="2"/>
        <v>10370</v>
      </c>
      <c r="N47" s="31" t="s">
        <v>238</v>
      </c>
      <c r="O47" s="30"/>
    </row>
    <row r="48" spans="1:15">
      <c r="A48" s="19" t="s">
        <v>142</v>
      </c>
      <c r="B48" s="19" t="s">
        <v>140</v>
      </c>
      <c r="C48" s="24" t="s">
        <v>293</v>
      </c>
      <c r="D48" s="33"/>
      <c r="E48" s="26">
        <v>10100</v>
      </c>
      <c r="F48" s="26">
        <v>135</v>
      </c>
      <c r="G48" s="27">
        <f>AUGUST!M48</f>
        <v>100</v>
      </c>
      <c r="H48" s="27">
        <f t="shared" si="1"/>
        <v>10335</v>
      </c>
      <c r="I48" s="26"/>
      <c r="J48" s="28"/>
      <c r="K48" s="89"/>
      <c r="L48" s="29" t="s">
        <v>801</v>
      </c>
      <c r="M48" s="27">
        <f t="shared" si="2"/>
        <v>10335</v>
      </c>
      <c r="N48" s="31" t="s">
        <v>238</v>
      </c>
      <c r="O48" s="30"/>
    </row>
    <row r="49" spans="1:15">
      <c r="A49" s="19" t="s">
        <v>145</v>
      </c>
      <c r="B49" s="19" t="s">
        <v>143</v>
      </c>
      <c r="C49" s="24" t="s">
        <v>144</v>
      </c>
      <c r="D49" s="33"/>
      <c r="E49" s="26">
        <v>10100</v>
      </c>
      <c r="F49" s="26">
        <v>330</v>
      </c>
      <c r="G49" s="27">
        <f>AUGUST!M49</f>
        <v>174.99999999999818</v>
      </c>
      <c r="H49" s="27">
        <f t="shared" si="1"/>
        <v>10604.999999999998</v>
      </c>
      <c r="I49" s="26"/>
      <c r="J49" s="28"/>
      <c r="K49" s="89"/>
      <c r="L49" s="29" t="s">
        <v>801</v>
      </c>
      <c r="M49" s="27">
        <f t="shared" si="2"/>
        <v>10604.999999999998</v>
      </c>
      <c r="N49" s="31" t="s">
        <v>238</v>
      </c>
      <c r="O49" s="30"/>
    </row>
    <row r="50" spans="1:15">
      <c r="A50" s="19" t="s">
        <v>148</v>
      </c>
      <c r="B50" s="19" t="s">
        <v>146</v>
      </c>
      <c r="C50" s="24" t="s">
        <v>147</v>
      </c>
      <c r="D50" s="33"/>
      <c r="E50" s="26">
        <v>10100</v>
      </c>
      <c r="F50" s="26">
        <v>15</v>
      </c>
      <c r="G50" s="27">
        <f>AUGUST!M50</f>
        <v>-10</v>
      </c>
      <c r="H50" s="27">
        <f t="shared" si="1"/>
        <v>10105</v>
      </c>
      <c r="I50" s="26"/>
      <c r="J50" s="28"/>
      <c r="K50" s="89"/>
      <c r="L50" s="29" t="s">
        <v>801</v>
      </c>
      <c r="M50" s="27">
        <f t="shared" si="2"/>
        <v>10105</v>
      </c>
      <c r="N50" s="31" t="s">
        <v>238</v>
      </c>
      <c r="O50" s="30"/>
    </row>
    <row r="51" spans="1:15">
      <c r="A51" s="19" t="s">
        <v>156</v>
      </c>
      <c r="B51" s="19" t="s">
        <v>159</v>
      </c>
      <c r="C51" s="24" t="s">
        <v>285</v>
      </c>
      <c r="D51" s="33"/>
      <c r="E51" s="26">
        <v>10100</v>
      </c>
      <c r="F51" s="26">
        <v>120</v>
      </c>
      <c r="G51" s="27">
        <f>AUGUST!M51</f>
        <v>-39.999999999999147</v>
      </c>
      <c r="H51" s="27">
        <f t="shared" si="1"/>
        <v>10180</v>
      </c>
      <c r="I51" s="26">
        <f>10265</f>
        <v>10265</v>
      </c>
      <c r="J51" s="28" t="s">
        <v>824</v>
      </c>
      <c r="K51" s="89" t="s">
        <v>815</v>
      </c>
      <c r="L51" s="29" t="s">
        <v>801</v>
      </c>
      <c r="M51" s="27">
        <f t="shared" si="2"/>
        <v>-85</v>
      </c>
      <c r="N51" s="31" t="s">
        <v>238</v>
      </c>
      <c r="O51" s="30"/>
    </row>
    <row r="52" spans="1:15">
      <c r="A52" s="19" t="s">
        <v>157</v>
      </c>
      <c r="B52" s="19" t="s">
        <v>149</v>
      </c>
      <c r="C52" s="24" t="s">
        <v>150</v>
      </c>
      <c r="D52" s="33"/>
      <c r="E52" s="26">
        <v>10100</v>
      </c>
      <c r="F52" s="26">
        <v>315</v>
      </c>
      <c r="G52" s="27">
        <f>AUGUST!M52</f>
        <v>-25555</v>
      </c>
      <c r="H52" s="27">
        <f t="shared" si="1"/>
        <v>-15140</v>
      </c>
      <c r="I52" s="26">
        <f>10680</f>
        <v>10680</v>
      </c>
      <c r="J52" s="28" t="s">
        <v>818</v>
      </c>
      <c r="K52" s="89" t="s">
        <v>813</v>
      </c>
      <c r="L52" s="29" t="s">
        <v>801</v>
      </c>
      <c r="M52" s="27">
        <f t="shared" si="2"/>
        <v>-25820</v>
      </c>
      <c r="N52" s="31" t="s">
        <v>238</v>
      </c>
      <c r="O52" s="30"/>
    </row>
    <row r="53" spans="1:15">
      <c r="A53" s="19" t="s">
        <v>158</v>
      </c>
      <c r="B53" s="79" t="s">
        <v>160</v>
      </c>
      <c r="C53" s="88" t="s">
        <v>311</v>
      </c>
      <c r="D53" s="33"/>
      <c r="E53" s="26">
        <v>10100</v>
      </c>
      <c r="F53" s="26">
        <v>540</v>
      </c>
      <c r="G53" s="27">
        <f>AUGUST!M53</f>
        <v>445.00000000000011</v>
      </c>
      <c r="H53" s="27">
        <f t="shared" si="1"/>
        <v>11085</v>
      </c>
      <c r="I53" s="26">
        <f>10580</f>
        <v>10580</v>
      </c>
      <c r="J53" s="28" t="s">
        <v>816</v>
      </c>
      <c r="K53" s="89" t="s">
        <v>813</v>
      </c>
      <c r="L53" s="29" t="s">
        <v>801</v>
      </c>
      <c r="M53" s="27">
        <f t="shared" si="2"/>
        <v>505</v>
      </c>
      <c r="N53" s="31" t="s">
        <v>238</v>
      </c>
      <c r="O53" s="30"/>
    </row>
    <row r="54" spans="1:15">
      <c r="A54" s="19" t="s">
        <v>151</v>
      </c>
      <c r="B54" s="19" t="s">
        <v>152</v>
      </c>
      <c r="C54" s="24" t="s">
        <v>153</v>
      </c>
      <c r="D54" s="33"/>
      <c r="E54" s="26">
        <v>10100</v>
      </c>
      <c r="F54" s="26">
        <v>450</v>
      </c>
      <c r="G54" s="27">
        <f>AUGUST!M54</f>
        <v>-79.999999999998181</v>
      </c>
      <c r="H54" s="27">
        <f t="shared" si="1"/>
        <v>10470.000000000002</v>
      </c>
      <c r="I54" s="26"/>
      <c r="J54" s="28"/>
      <c r="K54" s="89"/>
      <c r="L54" s="29" t="s">
        <v>801</v>
      </c>
      <c r="M54" s="27">
        <f t="shared" si="2"/>
        <v>10470.000000000002</v>
      </c>
      <c r="N54" s="31" t="s">
        <v>238</v>
      </c>
      <c r="O54" s="30"/>
    </row>
    <row r="55" spans="1:15">
      <c r="A55" s="19" t="s">
        <v>161</v>
      </c>
      <c r="B55" s="19" t="s">
        <v>810</v>
      </c>
      <c r="C55" s="24" t="s">
        <v>811</v>
      </c>
      <c r="D55" s="33">
        <v>10000</v>
      </c>
      <c r="E55" s="26">
        <v>10100</v>
      </c>
      <c r="F55" s="26">
        <v>0</v>
      </c>
      <c r="G55" s="27">
        <v>0</v>
      </c>
      <c r="H55" s="27">
        <f t="shared" si="1"/>
        <v>20100</v>
      </c>
      <c r="I55" s="26">
        <f>20100</f>
        <v>20100</v>
      </c>
      <c r="J55" s="28" t="s">
        <v>820</v>
      </c>
      <c r="K55" s="89" t="s">
        <v>821</v>
      </c>
      <c r="L55" s="29" t="s">
        <v>801</v>
      </c>
      <c r="M55" s="27">
        <f t="shared" si="2"/>
        <v>0</v>
      </c>
      <c r="N55" s="31" t="s">
        <v>238</v>
      </c>
      <c r="O55" s="30" t="s">
        <v>800</v>
      </c>
    </row>
    <row r="56" spans="1:15">
      <c r="A56" s="19" t="s">
        <v>162</v>
      </c>
      <c r="B56" s="19" t="s">
        <v>565</v>
      </c>
      <c r="C56" s="24" t="s">
        <v>566</v>
      </c>
      <c r="D56" s="33"/>
      <c r="E56" s="26">
        <v>10100</v>
      </c>
      <c r="F56" s="26">
        <v>315</v>
      </c>
      <c r="G56" s="27">
        <f>AUGUST!M56</f>
        <v>540</v>
      </c>
      <c r="H56" s="27">
        <f t="shared" si="1"/>
        <v>10955</v>
      </c>
      <c r="I56" s="26">
        <f>10360</f>
        <v>10360</v>
      </c>
      <c r="J56" s="28" t="s">
        <v>828</v>
      </c>
      <c r="K56" s="89" t="s">
        <v>829</v>
      </c>
      <c r="L56" s="29" t="s">
        <v>801</v>
      </c>
      <c r="M56" s="27">
        <f>H56-I56</f>
        <v>595</v>
      </c>
      <c r="N56" s="31" t="s">
        <v>238</v>
      </c>
      <c r="O56" s="30"/>
    </row>
    <row r="57" spans="1:15">
      <c r="A57" s="52" t="s">
        <v>25</v>
      </c>
      <c r="B57" s="19"/>
      <c r="C57" s="53"/>
      <c r="D57" s="54"/>
      <c r="E57" s="54">
        <f>SUM(E9:E56)</f>
        <v>480700</v>
      </c>
      <c r="F57" s="54">
        <f>SUM(F9:F56)</f>
        <v>17130</v>
      </c>
      <c r="G57" s="54">
        <f>SUM(G9:G56)</f>
        <v>-55494</v>
      </c>
      <c r="H57" s="54">
        <f>SUM(H9:H56)</f>
        <v>452336</v>
      </c>
      <c r="I57" s="54">
        <f>SUM(I9:I56)</f>
        <v>192215</v>
      </c>
      <c r="J57" s="54"/>
      <c r="K57" s="54"/>
      <c r="L57" s="54"/>
      <c r="M57" s="54">
        <f>SUM(M9:M56)</f>
        <v>260121</v>
      </c>
      <c r="N57" s="55"/>
      <c r="O57" s="55"/>
    </row>
    <row r="58" spans="1:15">
      <c r="A58" s="12"/>
      <c r="B58" s="19"/>
      <c r="C58" s="53"/>
      <c r="D58" s="56"/>
      <c r="E58" s="57"/>
      <c r="F58" s="57"/>
      <c r="G58" s="58"/>
      <c r="H58" s="57"/>
      <c r="I58" s="57"/>
      <c r="J58" s="12"/>
      <c r="K58" s="12"/>
      <c r="L58" s="12"/>
      <c r="M58" s="57"/>
      <c r="N58" s="57"/>
      <c r="O58" s="57"/>
    </row>
    <row r="59" spans="1:15">
      <c r="A59" s="59" t="s">
        <v>26</v>
      </c>
      <c r="B59" s="19"/>
      <c r="C59" s="53"/>
      <c r="D59" s="56"/>
      <c r="E59" s="57"/>
      <c r="F59" s="57"/>
      <c r="G59" s="58"/>
      <c r="H59" s="57"/>
      <c r="I59" s="57"/>
      <c r="J59" s="12"/>
      <c r="K59" s="12"/>
      <c r="L59" s="12"/>
      <c r="M59" s="57"/>
      <c r="N59" s="57"/>
      <c r="O59" s="57"/>
    </row>
    <row r="60" spans="1:15">
      <c r="A60" s="19" t="s">
        <v>27</v>
      </c>
      <c r="B60" s="19"/>
      <c r="C60" s="53"/>
      <c r="D60" s="19"/>
      <c r="E60" s="19"/>
      <c r="F60" s="19"/>
      <c r="G60" s="20"/>
      <c r="H60" s="19"/>
      <c r="I60" s="60">
        <f>6%*I57</f>
        <v>11532.9</v>
      </c>
      <c r="J60" s="19"/>
      <c r="K60" s="19"/>
      <c r="L60" s="19"/>
      <c r="M60" s="19"/>
      <c r="N60" s="19"/>
      <c r="O60" s="15"/>
    </row>
    <row r="61" spans="1:15" ht="16.5">
      <c r="A61" s="15" t="s">
        <v>28</v>
      </c>
      <c r="B61" s="15"/>
      <c r="C61" s="15"/>
      <c r="D61" s="15"/>
      <c r="E61" s="15"/>
      <c r="F61" s="15"/>
      <c r="G61" s="61"/>
      <c r="H61" s="15"/>
      <c r="I61" s="62">
        <f>SUM(I60:I60)</f>
        <v>11532.9</v>
      </c>
      <c r="J61" s="15"/>
      <c r="K61" s="15"/>
      <c r="L61" s="19"/>
      <c r="M61" s="15"/>
      <c r="N61" s="15"/>
      <c r="O61" s="15"/>
    </row>
    <row r="62" spans="1:15">
      <c r="A62" s="15"/>
      <c r="B62" s="15"/>
      <c r="C62" s="15"/>
      <c r="D62" s="15"/>
      <c r="E62" s="15"/>
      <c r="F62" s="15"/>
      <c r="G62" s="61"/>
      <c r="H62" s="15"/>
      <c r="I62" s="63"/>
      <c r="J62" s="15"/>
      <c r="K62" s="15"/>
      <c r="L62" s="15"/>
      <c r="M62" s="15"/>
      <c r="N62" s="15"/>
      <c r="O62" s="15"/>
    </row>
    <row r="63" spans="1:15">
      <c r="A63" s="2" t="s">
        <v>29</v>
      </c>
      <c r="B63" s="2"/>
      <c r="C63" s="2"/>
      <c r="D63" s="2"/>
      <c r="E63" s="2"/>
      <c r="F63" s="2"/>
      <c r="G63" s="64"/>
      <c r="H63" s="2"/>
      <c r="I63" s="47">
        <f>JUNE!M64</f>
        <v>29273.1</v>
      </c>
      <c r="J63" s="65" t="s">
        <v>30</v>
      </c>
      <c r="K63" s="65"/>
      <c r="L63" s="65" t="s">
        <v>30</v>
      </c>
      <c r="M63" s="66" t="s">
        <v>31</v>
      </c>
    </row>
    <row r="64" spans="1:15" ht="15.75" thickBot="1">
      <c r="A64" s="102" t="s">
        <v>32</v>
      </c>
      <c r="B64" s="102"/>
      <c r="C64" s="102"/>
      <c r="D64" s="102"/>
      <c r="E64" s="102"/>
      <c r="F64" s="102"/>
      <c r="G64" s="67"/>
      <c r="H64" s="68"/>
      <c r="I64" s="69">
        <f>I61</f>
        <v>11532.9</v>
      </c>
      <c r="J64" s="70"/>
      <c r="K64" s="70"/>
      <c r="L64" s="71"/>
      <c r="M64" s="72">
        <f>I64-J64-L64</f>
        <v>11532.9</v>
      </c>
    </row>
    <row r="65" spans="1:15" ht="15.75" thickTop="1">
      <c r="A65" s="102"/>
      <c r="B65" s="2"/>
      <c r="C65" s="2"/>
      <c r="D65" s="68"/>
      <c r="E65" s="68"/>
      <c r="F65" s="68"/>
      <c r="G65" s="70"/>
      <c r="H65" s="2"/>
      <c r="I65" s="73"/>
      <c r="J65" s="19"/>
      <c r="K65" s="19"/>
      <c r="L65" s="2"/>
      <c r="M65" s="19"/>
      <c r="N65" s="68"/>
      <c r="O65" s="2"/>
    </row>
    <row r="66" spans="1:15">
      <c r="A66" s="2" t="s">
        <v>33</v>
      </c>
      <c r="B66" s="2"/>
      <c r="C66" s="2"/>
      <c r="D66" s="2"/>
      <c r="E66" s="2"/>
      <c r="F66" s="2"/>
      <c r="G66" s="64"/>
      <c r="H66" s="2"/>
      <c r="I66" s="27"/>
      <c r="J66" s="19"/>
      <c r="K66" s="19"/>
      <c r="L66" s="2"/>
      <c r="M66" s="74">
        <v>46326</v>
      </c>
      <c r="N66" s="76"/>
      <c r="O66" s="75"/>
    </row>
    <row r="67" spans="1:15">
      <c r="A67" s="44"/>
      <c r="B67" s="44"/>
      <c r="C67" s="44"/>
      <c r="D67" s="44"/>
      <c r="E67" s="44"/>
      <c r="F67" s="44"/>
      <c r="G67" s="44"/>
      <c r="H67" s="44"/>
      <c r="L67" s="44"/>
      <c r="N67" s="44"/>
      <c r="O67" s="44"/>
    </row>
    <row r="68" spans="1:15">
      <c r="A68" s="44"/>
      <c r="B68" s="44"/>
      <c r="C68" s="44"/>
      <c r="D68" s="44"/>
      <c r="E68" s="44"/>
      <c r="F68" s="44"/>
      <c r="G68" s="44"/>
      <c r="H68" s="44"/>
      <c r="L68" s="44"/>
      <c r="N68" s="44"/>
      <c r="O68" s="44"/>
    </row>
    <row r="69" spans="1:15">
      <c r="A69" s="44"/>
      <c r="B69" s="44"/>
      <c r="C69" s="44"/>
      <c r="D69" s="44"/>
      <c r="E69" s="44"/>
      <c r="F69" s="44"/>
      <c r="G69" s="44"/>
      <c r="H69" s="44"/>
      <c r="L69" s="44"/>
      <c r="N69" s="44"/>
      <c r="O69" s="44"/>
    </row>
    <row r="70" spans="1:15">
      <c r="E70">
        <f>I57/H57*100</f>
        <v>42.49385412613632</v>
      </c>
    </row>
  </sheetData>
  <mergeCells count="1">
    <mergeCell ref="A3:M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</vt:lpstr>
      <vt:lpstr>FEBRUARY</vt:lpstr>
      <vt:lpstr>MARCH</vt:lpstr>
      <vt:lpstr>APR</vt:lpstr>
      <vt:lpstr>MAY</vt:lpstr>
      <vt:lpstr>JUNE</vt:lpstr>
      <vt:lpstr>JULY</vt:lpstr>
      <vt:lpstr>AUGUST</vt:lpstr>
      <vt:lpstr>SEPTEMBER</vt:lpstr>
      <vt:lpstr>OCTOBER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Lobby Managers</dc:creator>
  <cp:lastModifiedBy>PC</cp:lastModifiedBy>
  <cp:lastPrinted>2026-09-01T11:26:33Z</cp:lastPrinted>
  <dcterms:created xsi:type="dcterms:W3CDTF">2026-01-05T16:22:38Z</dcterms:created>
  <dcterms:modified xsi:type="dcterms:W3CDTF">2026-10-05T08:43:56Z</dcterms:modified>
</cp:coreProperties>
</file>